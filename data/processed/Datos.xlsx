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664\Desktop\MII\2 Cuatrimestre\Diseño\Proyecto_Amazon\Codigo_Amazon\data\"/>
    </mc:Choice>
  </mc:AlternateContent>
  <xr:revisionPtr revIDLastSave="0" documentId="13_ncr:1_{49421892-949F-4D95-818D-EE7E54773920}" xr6:coauthVersionLast="47" xr6:coauthVersionMax="47" xr10:uidLastSave="{00000000-0000-0000-0000-000000000000}"/>
  <bookViews>
    <workbookView xWindow="-108" yWindow="-108" windowWidth="23256" windowHeight="12456" xr2:uid="{378A4F56-6828-42CF-BA97-195A16BBE030}"/>
  </bookViews>
  <sheets>
    <sheet name="Dat" sheetId="7" r:id="rId1"/>
    <sheet name="Pesos" sheetId="4" r:id="rId2"/>
    <sheet name="Córdoba" sheetId="1" r:id="rId3"/>
    <sheet name="Huelva" sheetId="2" r:id="rId4"/>
    <sheet name="Sevilla" sheetId="3" r:id="rId5"/>
    <sheet name="Cádiz" sheetId="8" r:id="rId6"/>
    <sheet name="Hoja1" sheetId="9" r:id="rId7"/>
  </sheets>
  <definedNames>
    <definedName name="_xlnm._FilterDatabase" localSheetId="5" hidden="1">Cádiz!$A$1:$I$129</definedName>
    <definedName name="_xlnm._FilterDatabase" localSheetId="2" hidden="1">Córdoba!$A$1:$I$180</definedName>
    <definedName name="_xlnm._FilterDatabase" localSheetId="6" hidden="1">Hoja1!$E$1:$G$223</definedName>
    <definedName name="_xlnm._FilterDatabase" localSheetId="3" hidden="1">Huelva!$A$1:$I$133</definedName>
    <definedName name="_xlnm._FilterDatabase" localSheetId="1" hidden="1">Pesos!$A$7:$M$536</definedName>
    <definedName name="_xlnm._FilterDatabase" localSheetId="4" hidden="1">Sevilla!$A$1:$I$219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1" i="4"/>
  <c r="H1" i="4"/>
  <c r="H2" i="4"/>
  <c r="J8" i="4" l="1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95" i="4" l="1"/>
  <c r="J48" i="4"/>
  <c r="J478" i="4"/>
  <c r="J200" i="4"/>
  <c r="J93" i="4"/>
  <c r="J380" i="4"/>
  <c r="J194" i="4"/>
  <c r="J256" i="4"/>
  <c r="J496" i="4"/>
  <c r="J364" i="4"/>
  <c r="J452" i="4"/>
  <c r="J435" i="4"/>
  <c r="J448" i="4"/>
  <c r="J424" i="4"/>
  <c r="J485" i="4"/>
  <c r="J503" i="4"/>
  <c r="J342" i="4"/>
  <c r="J536" i="4"/>
  <c r="J311" i="4"/>
  <c r="J273" i="4"/>
  <c r="J197" i="4"/>
  <c r="J193" i="4"/>
  <c r="J318" i="4"/>
  <c r="J216" i="4"/>
  <c r="J301" i="4"/>
  <c r="J69" i="4"/>
  <c r="J183" i="4"/>
  <c r="J134" i="4"/>
  <c r="J112" i="4"/>
  <c r="J136" i="4"/>
  <c r="J91" i="4"/>
  <c r="J13" i="4"/>
  <c r="J178" i="4"/>
  <c r="J419" i="4"/>
  <c r="J497" i="4"/>
  <c r="J236" i="4"/>
  <c r="J417" i="4"/>
  <c r="J296" i="4"/>
  <c r="J192" i="4"/>
  <c r="J231" i="4"/>
  <c r="J262" i="4"/>
  <c r="J298" i="4"/>
  <c r="J74" i="4"/>
  <c r="J182" i="4"/>
  <c r="J133" i="4"/>
  <c r="J111" i="4"/>
  <c r="J135" i="4"/>
  <c r="J36" i="4"/>
  <c r="J15" i="4"/>
  <c r="J125" i="4"/>
  <c r="J381" i="4"/>
  <c r="J225" i="4"/>
  <c r="J185" i="4"/>
  <c r="J418" i="4"/>
  <c r="J184" i="4"/>
  <c r="J451" i="4"/>
  <c r="J310" i="4"/>
  <c r="J450" i="4"/>
  <c r="J446" i="4"/>
  <c r="J430" i="4"/>
  <c r="J422" i="4"/>
  <c r="J332" i="4"/>
  <c r="J378" i="4"/>
  <c r="J529" i="4"/>
  <c r="J390" i="4"/>
  <c r="J255" i="4"/>
  <c r="J295" i="4"/>
  <c r="J302" i="4"/>
  <c r="J191" i="4"/>
  <c r="J230" i="4"/>
  <c r="J292" i="4"/>
  <c r="J297" i="4"/>
  <c r="J73" i="4"/>
  <c r="J181" i="4"/>
  <c r="J29" i="4"/>
  <c r="J110" i="4"/>
  <c r="J44" i="4"/>
  <c r="J35" i="4"/>
  <c r="J9" i="4"/>
  <c r="J124" i="4"/>
  <c r="J286" i="4"/>
  <c r="J457" i="4"/>
  <c r="J70" i="4"/>
  <c r="J504" i="4"/>
  <c r="J498" i="4"/>
  <c r="J389" i="4"/>
  <c r="J283" i="4"/>
  <c r="J232" i="4"/>
  <c r="J229" i="4"/>
  <c r="J72" i="4"/>
  <c r="J180" i="4"/>
  <c r="J64" i="4"/>
  <c r="J109" i="4"/>
  <c r="J43" i="4"/>
  <c r="J34" i="4"/>
  <c r="J123" i="4"/>
  <c r="J534" i="4"/>
  <c r="J278" i="4"/>
  <c r="J127" i="4"/>
  <c r="J483" i="4"/>
  <c r="J220" i="4"/>
  <c r="J25" i="4"/>
  <c r="J408" i="4"/>
  <c r="J303" i="4"/>
  <c r="J415" i="4"/>
  <c r="J331" i="4"/>
  <c r="J335" i="4"/>
  <c r="J249" i="4"/>
  <c r="J190" i="4"/>
  <c r="J328" i="4"/>
  <c r="J460" i="4"/>
  <c r="J405" i="4"/>
  <c r="J372" i="4"/>
  <c r="J376" i="4"/>
  <c r="J341" i="4"/>
  <c r="J263" i="4"/>
  <c r="J205" i="4"/>
  <c r="J282" i="4"/>
  <c r="J189" i="4"/>
  <c r="J233" i="4"/>
  <c r="J290" i="4"/>
  <c r="J228" i="4"/>
  <c r="J71" i="4"/>
  <c r="J179" i="4"/>
  <c r="J63" i="4"/>
  <c r="J108" i="4"/>
  <c r="J42" i="4"/>
  <c r="J147" i="4"/>
  <c r="J150" i="4"/>
  <c r="J122" i="4"/>
  <c r="J484" i="4"/>
  <c r="J37" i="4"/>
  <c r="J481" i="4"/>
  <c r="J268" i="4"/>
  <c r="J126" i="4"/>
  <c r="J423" i="4"/>
  <c r="J449" i="4"/>
  <c r="J377" i="4"/>
  <c r="J254" i="4"/>
  <c r="J291" i="4"/>
  <c r="J458" i="4"/>
  <c r="J525" i="4"/>
  <c r="J492" i="4"/>
  <c r="J367" i="4"/>
  <c r="J394" i="4"/>
  <c r="J334" i="4"/>
  <c r="J359" i="4"/>
  <c r="J323" i="4"/>
  <c r="J524" i="4"/>
  <c r="J507" i="4"/>
  <c r="J491" i="4"/>
  <c r="J404" i="4"/>
  <c r="J366" i="4"/>
  <c r="J371" i="4"/>
  <c r="J393" i="4"/>
  <c r="J375" i="4"/>
  <c r="J494" i="4"/>
  <c r="J340" i="4"/>
  <c r="J271" i="4"/>
  <c r="J259" i="4"/>
  <c r="J203" i="4"/>
  <c r="J188" i="4"/>
  <c r="J204" i="4"/>
  <c r="J279" i="4"/>
  <c r="J266" i="4"/>
  <c r="J33" i="4"/>
  <c r="J99" i="4"/>
  <c r="J119" i="4"/>
  <c r="J107" i="4"/>
  <c r="J41" i="4"/>
  <c r="J146" i="4"/>
  <c r="J149" i="4"/>
  <c r="J31" i="4"/>
  <c r="J264" i="4"/>
  <c r="J453" i="4"/>
  <c r="J224" i="4"/>
  <c r="J398" i="4"/>
  <c r="J416" i="4"/>
  <c r="J370" i="4"/>
  <c r="J270" i="4"/>
  <c r="J258" i="4"/>
  <c r="J317" i="4"/>
  <c r="J187" i="4"/>
  <c r="J253" i="4"/>
  <c r="J276" i="4"/>
  <c r="J196" i="4"/>
  <c r="J67" i="4"/>
  <c r="J86" i="4"/>
  <c r="J118" i="4"/>
  <c r="J98" i="4"/>
  <c r="J65" i="4"/>
  <c r="J145" i="4"/>
  <c r="J148" i="4"/>
  <c r="J170" i="4"/>
  <c r="J471" i="4"/>
  <c r="J240" i="4"/>
  <c r="J10" i="4"/>
  <c r="J475" i="4"/>
  <c r="J92" i="4"/>
  <c r="J490" i="4"/>
  <c r="J333" i="4"/>
  <c r="J489" i="4"/>
  <c r="J526" i="4"/>
  <c r="J523" i="4"/>
  <c r="J365" i="4"/>
  <c r="J401" i="4"/>
  <c r="J357" i="4"/>
  <c r="J329" i="4"/>
  <c r="J500" i="4"/>
  <c r="J360" i="4"/>
  <c r="J413" i="4"/>
  <c r="J384" i="4"/>
  <c r="J532" i="4"/>
  <c r="J369" i="4"/>
  <c r="J391" i="4"/>
  <c r="J373" i="4"/>
  <c r="J436" i="4"/>
  <c r="J400" i="4"/>
  <c r="J269" i="4"/>
  <c r="J260" i="4"/>
  <c r="J316" i="4"/>
  <c r="J300" i="4"/>
  <c r="J219" i="4"/>
  <c r="J239" i="4"/>
  <c r="J195" i="4"/>
  <c r="J66" i="4"/>
  <c r="J85" i="4"/>
  <c r="J131" i="4"/>
  <c r="J97" i="4"/>
  <c r="J100" i="4"/>
  <c r="J78" i="4"/>
  <c r="J117" i="4"/>
  <c r="J169" i="4"/>
  <c r="J465" i="4"/>
  <c r="J346" i="4"/>
  <c r="J57" i="4"/>
  <c r="J533" i="4"/>
  <c r="J277" i="4"/>
  <c r="J104" i="4"/>
  <c r="J409" i="4"/>
  <c r="J535" i="4"/>
  <c r="J352" i="4"/>
  <c r="J343" i="4"/>
  <c r="J397" i="4"/>
  <c r="J493" i="4"/>
  <c r="J499" i="4"/>
  <c r="J326" i="4"/>
  <c r="J434" i="4"/>
  <c r="J443" i="4"/>
  <c r="J412" i="4"/>
  <c r="J388" i="4"/>
  <c r="J428" i="4"/>
  <c r="J368" i="4"/>
  <c r="J362" i="4"/>
  <c r="J354" i="4"/>
  <c r="J508" i="4"/>
  <c r="J495" i="4"/>
  <c r="J222" i="4"/>
  <c r="J315" i="4"/>
  <c r="J305" i="4"/>
  <c r="J267" i="4"/>
  <c r="J248" i="4"/>
  <c r="J238" i="4"/>
  <c r="J227" i="4"/>
  <c r="J121" i="4"/>
  <c r="J144" i="4"/>
  <c r="J130" i="4"/>
  <c r="J106" i="4"/>
  <c r="J32" i="4"/>
  <c r="J161" i="4"/>
  <c r="J116" i="4"/>
  <c r="J168" i="4"/>
  <c r="J482" i="4"/>
  <c r="J313" i="4"/>
  <c r="J90" i="4"/>
  <c r="J399" i="4"/>
  <c r="J459" i="4"/>
  <c r="J56" i="4"/>
  <c r="J530" i="4"/>
  <c r="J351" i="4"/>
  <c r="J407" i="4"/>
  <c r="J355" i="4"/>
  <c r="J358" i="4"/>
  <c r="J516" i="4"/>
  <c r="J374" i="4"/>
  <c r="J506" i="4"/>
  <c r="J321" i="4"/>
  <c r="J433" i="4"/>
  <c r="J442" i="4"/>
  <c r="J411" i="4"/>
  <c r="J387" i="4"/>
  <c r="J427" i="4"/>
  <c r="J464" i="4"/>
  <c r="J361" i="4"/>
  <c r="J353" i="4"/>
  <c r="J441" i="4"/>
  <c r="J363" i="4"/>
  <c r="J275" i="4"/>
  <c r="J314" i="4"/>
  <c r="J201" i="4"/>
  <c r="J285" i="4"/>
  <c r="J247" i="4"/>
  <c r="J237" i="4"/>
  <c r="J103" i="4"/>
  <c r="J128" i="4"/>
  <c r="J139" i="4"/>
  <c r="J129" i="4"/>
  <c r="J105" i="4"/>
  <c r="J143" i="4"/>
  <c r="J160" i="4"/>
  <c r="J20" i="4"/>
  <c r="J40" i="4"/>
  <c r="J338" i="4"/>
  <c r="J476" i="4"/>
  <c r="J101" i="4"/>
  <c r="J477" i="4"/>
  <c r="J12" i="4"/>
  <c r="J447" i="4"/>
  <c r="J502" i="4"/>
  <c r="J356" i="4"/>
  <c r="J445" i="4"/>
  <c r="J325" i="4"/>
  <c r="J414" i="4"/>
  <c r="J392" i="4"/>
  <c r="J505" i="4"/>
  <c r="J322" i="4"/>
  <c r="J349" i="4"/>
  <c r="J528" i="4"/>
  <c r="J410" i="4"/>
  <c r="J386" i="4"/>
  <c r="J510" i="4"/>
  <c r="J330" i="4"/>
  <c r="J515" i="4"/>
  <c r="J520" i="4"/>
  <c r="J440" i="4"/>
  <c r="J421" i="4"/>
  <c r="J274" i="4"/>
  <c r="J304" i="4"/>
  <c r="J246" i="4"/>
  <c r="J251" i="4"/>
  <c r="J235" i="4"/>
  <c r="J217" i="4"/>
  <c r="J21" i="4"/>
  <c r="J61" i="4"/>
  <c r="J138" i="4"/>
  <c r="J174" i="4"/>
  <c r="J163" i="4"/>
  <c r="J51" i="4"/>
  <c r="J16" i="4"/>
  <c r="J19" i="4"/>
  <c r="J39" i="4"/>
  <c r="J521" i="4"/>
  <c r="J350" i="4"/>
  <c r="J488" i="4"/>
  <c r="J426" i="4"/>
  <c r="J509" i="4"/>
  <c r="J463" i="4"/>
  <c r="J501" i="4"/>
  <c r="J519" i="4"/>
  <c r="J439" i="4"/>
  <c r="J420" i="4"/>
  <c r="J215" i="4"/>
  <c r="J289" i="4"/>
  <c r="J243" i="4"/>
  <c r="J250" i="4"/>
  <c r="J284" i="4"/>
  <c r="J213" i="4"/>
  <c r="J162" i="4"/>
  <c r="J60" i="4"/>
  <c r="J137" i="4"/>
  <c r="J55" i="4"/>
  <c r="J171" i="4"/>
  <c r="J50" i="4"/>
  <c r="J17" i="4"/>
  <c r="J18" i="4"/>
  <c r="J38" i="4"/>
  <c r="J470" i="4"/>
  <c r="J324" i="4"/>
  <c r="J469" i="4"/>
  <c r="J319" i="4"/>
  <c r="J348" i="4"/>
  <c r="J473" i="4"/>
  <c r="J487" i="4"/>
  <c r="J480" i="4"/>
  <c r="J337" i="4"/>
  <c r="J462" i="4"/>
  <c r="J345" i="4"/>
  <c r="J518" i="4"/>
  <c r="J438" i="4"/>
  <c r="J226" i="4"/>
  <c r="J261" i="4"/>
  <c r="J309" i="4"/>
  <c r="J242" i="4"/>
  <c r="J221" i="4"/>
  <c r="J281" i="4"/>
  <c r="J212" i="4"/>
  <c r="J53" i="4"/>
  <c r="J84" i="4"/>
  <c r="J59" i="4"/>
  <c r="J159" i="4"/>
  <c r="J167" i="4"/>
  <c r="J49" i="4"/>
  <c r="J14" i="4"/>
  <c r="J75" i="4"/>
  <c r="J157" i="4"/>
  <c r="J175" i="4"/>
  <c r="J151" i="4"/>
  <c r="J79" i="4"/>
  <c r="J52" i="4"/>
  <c r="J164" i="4"/>
  <c r="J113" i="4"/>
  <c r="J26" i="4"/>
  <c r="J87" i="4"/>
  <c r="J30" i="4"/>
  <c r="J54" i="4"/>
  <c r="J257" i="4"/>
  <c r="J293" i="4"/>
  <c r="J208" i="4"/>
  <c r="J207" i="4"/>
  <c r="J218" i="4"/>
  <c r="J287" i="4"/>
  <c r="J214" i="4"/>
  <c r="J312" i="4"/>
  <c r="J402" i="4"/>
  <c r="J511" i="4"/>
  <c r="J382" i="4"/>
  <c r="J522" i="4"/>
  <c r="J455" i="4"/>
  <c r="J425" i="4"/>
  <c r="J431" i="4"/>
  <c r="J406" i="4"/>
  <c r="J395" i="4"/>
  <c r="J444" i="4"/>
  <c r="J437" i="4"/>
  <c r="J320" i="4"/>
  <c r="J466" i="4"/>
  <c r="J385" i="4"/>
  <c r="J45" i="4"/>
  <c r="J176" i="4"/>
  <c r="J152" i="4"/>
  <c r="J172" i="4"/>
  <c r="J22" i="4"/>
  <c r="J165" i="4"/>
  <c r="J114" i="4"/>
  <c r="J27" i="4"/>
  <c r="J88" i="4"/>
  <c r="J24" i="4"/>
  <c r="J80" i="4"/>
  <c r="J198" i="4"/>
  <c r="J294" i="4"/>
  <c r="J209" i="4"/>
  <c r="J234" i="4"/>
  <c r="J244" i="4"/>
  <c r="J288" i="4"/>
  <c r="J252" i="4"/>
  <c r="J265" i="4"/>
  <c r="J403" i="4"/>
  <c r="J512" i="4"/>
  <c r="J383" i="4"/>
  <c r="J531" i="4"/>
  <c r="J456" i="4"/>
  <c r="J379" i="4"/>
  <c r="J432" i="4"/>
  <c r="J527" i="4"/>
  <c r="J396" i="4"/>
  <c r="J429" i="4"/>
  <c r="J513" i="4"/>
  <c r="J327" i="4"/>
  <c r="J467" i="4"/>
  <c r="J339" i="4"/>
  <c r="J46" i="4"/>
  <c r="J177" i="4"/>
  <c r="J76" i="4"/>
  <c r="J173" i="4"/>
  <c r="J23" i="4"/>
  <c r="J166" i="4"/>
  <c r="J115" i="4"/>
  <c r="J28" i="4"/>
  <c r="J89" i="4"/>
  <c r="J120" i="4"/>
  <c r="J81" i="4"/>
  <c r="J199" i="4"/>
  <c r="J306" i="4"/>
  <c r="J202" i="4"/>
  <c r="J299" i="4"/>
  <c r="J245" i="4"/>
  <c r="J307" i="4"/>
  <c r="J272" i="4"/>
  <c r="J94" i="4"/>
  <c r="J96" i="4"/>
  <c r="J83" i="4"/>
  <c r="J141" i="4"/>
  <c r="J142" i="4"/>
  <c r="J132" i="4"/>
  <c r="J77" i="4"/>
  <c r="J153" i="4"/>
  <c r="J154" i="4"/>
  <c r="J155" i="4"/>
  <c r="J156" i="4"/>
  <c r="J474" i="4"/>
  <c r="J68" i="4"/>
  <c r="J468" i="4"/>
  <c r="J454" i="4"/>
  <c r="J347" i="4"/>
  <c r="J472" i="4"/>
  <c r="J486" i="4"/>
  <c r="J479" i="4"/>
  <c r="J514" i="4"/>
  <c r="J461" i="4"/>
  <c r="J344" i="4"/>
  <c r="J517" i="4"/>
  <c r="J336" i="4"/>
  <c r="J206" i="4"/>
  <c r="J210" i="4"/>
  <c r="J308" i="4"/>
  <c r="J241" i="4"/>
  <c r="J223" i="4"/>
  <c r="J280" i="4"/>
  <c r="J211" i="4"/>
  <c r="J62" i="4"/>
  <c r="J102" i="4"/>
  <c r="J58" i="4"/>
  <c r="J158" i="4"/>
  <c r="J186" i="4"/>
  <c r="J82" i="4"/>
  <c r="J11" i="4"/>
  <c r="J140" i="4"/>
  <c r="J47" i="4"/>
  <c r="K2" i="4" l="1"/>
  <c r="K1" i="4"/>
</calcChain>
</file>

<file path=xl/sharedStrings.xml><?xml version="1.0" encoding="utf-8"?>
<sst xmlns="http://schemas.openxmlformats.org/spreadsheetml/2006/main" count="3970" uniqueCount="649">
  <si>
    <t>Sección INE</t>
  </si>
  <si>
    <t>Municipio</t>
  </si>
  <si>
    <t>Distrito</t>
  </si>
  <si>
    <t>Cód. Postal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</si>
  <si>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</si>
  <si>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</si>
  <si>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</si>
  <si>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</si>
  <si>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</si>
  <si>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</si>
  <si>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</si>
  <si>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</si>
  <si>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</si>
  <si>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</si>
  <si>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</si>
  <si>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</si>
  <si>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</si>
  <si>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</si>
  <si>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</si>
  <si>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</si>
  <si>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</si>
  <si>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</si>
  <si>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</si>
  <si>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</si>
  <si>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</si>
  <si>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</si>
  <si>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</si>
  <si>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</si>
  <si>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</si>
  <si>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</si>
  <si>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</si>
  <si>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</si>
  <si>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</si>
  <si>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</si>
  <si>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</si>
  <si>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</si>
  <si>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</si>
  <si>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</si>
  <si>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</si>
  <si>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</si>
  <si>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</si>
  <si>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</si>
  <si>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</si>
  <si>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</si>
  <si>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</si>
  <si>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</si>
  <si>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</si>
  <si>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</si>
  <si>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</si>
  <si>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</si>
  <si>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</si>
  <si>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</si>
  <si>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</si>
  <si>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</si>
  <si>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</si>
  <si>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Peñarroya-P.</t>
  </si>
  <si>
    <t>Posadas</t>
  </si>
  <si>
    <t>Pozoblanco</t>
  </si>
  <si>
    <t>Priego</t>
  </si>
  <si>
    <t>Puente Genil</t>
  </si>
  <si>
    <t>Rambla, La</t>
  </si>
  <si>
    <t>Rute</t>
  </si>
  <si>
    <t>S. Sebastián B.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</si>
  <si>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</si>
  <si>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</si>
  <si>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</si>
  <si>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</si>
  <si>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</si>
  <si>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</si>
  <si>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</si>
  <si>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C.</t>
  </si>
  <si>
    <t>Villaharta</t>
  </si>
  <si>
    <t>Villanueva C.</t>
  </si>
  <si>
    <t>Villanueva D.</t>
  </si>
  <si>
    <t>Villanueva R.</t>
  </si>
  <si>
    <t>Villaralto</t>
  </si>
  <si>
    <t>Villaviciosa</t>
  </si>
  <si>
    <t>Viso, El</t>
  </si>
  <si>
    <t>Zuheros</t>
  </si>
  <si>
    <t>F. Carreteros</t>
  </si>
  <si>
    <t>Guijarrosa, La</t>
  </si>
  <si>
    <t>Tamaño medio del hogar</t>
  </si>
  <si>
    <t>Población</t>
  </si>
  <si>
    <t>% Población menor 18 años</t>
  </si>
  <si>
    <t>% Población mayor 65 años</t>
  </si>
  <si>
    <t>Mediana de la renta por unidad de consumo</t>
  </si>
  <si>
    <t>14350,0</t>
  </si>
  <si>
    <t>16,8</t>
  </si>
  <si>
    <t>23,7</t>
  </si>
  <si>
    <t>2,4</t>
  </si>
  <si>
    <t>15050,0</t>
  </si>
  <si>
    <t>13,2</t>
  </si>
  <si>
    <t>25,6</t>
  </si>
  <si>
    <t>2,3</t>
  </si>
  <si>
    <t>13650,0</t>
  </si>
  <si>
    <t>16,7</t>
  </si>
  <si>
    <t>20,2</t>
  </si>
  <si>
    <t>18,2</t>
  </si>
  <si>
    <t>2,5</t>
  </si>
  <si>
    <t>16450,0</t>
  </si>
  <si>
    <t>14,1</t>
  </si>
  <si>
    <t>24,5</t>
  </si>
  <si>
    <t>2,2</t>
  </si>
  <si>
    <t>17,8</t>
  </si>
  <si>
    <t>20,4</t>
  </si>
  <si>
    <t>9,4</t>
  </si>
  <si>
    <t>26,3</t>
  </si>
  <si>
    <t>2,1</t>
  </si>
  <si>
    <t>19,1</t>
  </si>
  <si>
    <t>18,9</t>
  </si>
  <si>
    <t>17850,0</t>
  </si>
  <si>
    <t>16,0</t>
  </si>
  <si>
    <t>24,1</t>
  </si>
  <si>
    <t>17,6</t>
  </si>
  <si>
    <t>18,0</t>
  </si>
  <si>
    <t>12950,0</t>
  </si>
  <si>
    <t>17,5</t>
  </si>
  <si>
    <t>18,4</t>
  </si>
  <si>
    <t>18,8</t>
  </si>
  <si>
    <t>10850,0</t>
  </si>
  <si>
    <t>18,5</t>
  </si>
  <si>
    <t>14,8</t>
  </si>
  <si>
    <t>25,7</t>
  </si>
  <si>
    <t>13,3</t>
  </si>
  <si>
    <t>22,4</t>
  </si>
  <si>
    <t>12,0</t>
  </si>
  <si>
    <t>28,9</t>
  </si>
  <si>
    <t>25,5</t>
  </si>
  <si>
    <t>14,9</t>
  </si>
  <si>
    <t>24,7</t>
  </si>
  <si>
    <t>16100,0</t>
  </si>
  <si>
    <t>13,0</t>
  </si>
  <si>
    <t>26,1</t>
  </si>
  <si>
    <t>15750,0</t>
  </si>
  <si>
    <t>14,3</t>
  </si>
  <si>
    <t>27,1</t>
  </si>
  <si>
    <t>12,1</t>
  </si>
  <si>
    <t>28,3</t>
  </si>
  <si>
    <t>16,9</t>
  </si>
  <si>
    <t>20,8</t>
  </si>
  <si>
    <t>17,4</t>
  </si>
  <si>
    <t>18,3</t>
  </si>
  <si>
    <t>12,3</t>
  </si>
  <si>
    <t>26,8</t>
  </si>
  <si>
    <t>13,7</t>
  </si>
  <si>
    <t>20,6</t>
  </si>
  <si>
    <t>19,2</t>
  </si>
  <si>
    <t>16,6</t>
  </si>
  <si>
    <t>21,7</t>
  </si>
  <si>
    <t>15,2</t>
  </si>
  <si>
    <t>21,2</t>
  </si>
  <si>
    <t>15,8</t>
  </si>
  <si>
    <t>22,0</t>
  </si>
  <si>
    <t>15,0</t>
  </si>
  <si>
    <t>23,0</t>
  </si>
  <si>
    <t>26,9</t>
  </si>
  <si>
    <t>14,0</t>
  </si>
  <si>
    <t>12,7</t>
  </si>
  <si>
    <t>11,9</t>
  </si>
  <si>
    <t>20,1</t>
  </si>
  <si>
    <t>17,2</t>
  </si>
  <si>
    <t>2,6</t>
  </si>
  <si>
    <t>19,7</t>
  </si>
  <si>
    <t>17150,0</t>
  </si>
  <si>
    <t>17,7</t>
  </si>
  <si>
    <t>23,9</t>
  </si>
  <si>
    <t>16,5</t>
  </si>
  <si>
    <t>21,0</t>
  </si>
  <si>
    <t>18,6</t>
  </si>
  <si>
    <t>13,9</t>
  </si>
  <si>
    <t>7,4</t>
  </si>
  <si>
    <t>37,4</t>
  </si>
  <si>
    <t>2,0</t>
  </si>
  <si>
    <t>20650,0</t>
  </si>
  <si>
    <t>16,4</t>
  </si>
  <si>
    <t>23,2</t>
  </si>
  <si>
    <t>21350,0</t>
  </si>
  <si>
    <t>16,1</t>
  </si>
  <si>
    <t>19,3</t>
  </si>
  <si>
    <t>15,1</t>
  </si>
  <si>
    <t>21,9</t>
  </si>
  <si>
    <t>19,8</t>
  </si>
  <si>
    <t>17,3</t>
  </si>
  <si>
    <t>24850,0</t>
  </si>
  <si>
    <t>12,9</t>
  </si>
  <si>
    <t>26,6</t>
  </si>
  <si>
    <t>19950,0</t>
  </si>
  <si>
    <t>15,3</t>
  </si>
  <si>
    <t>12,4</t>
  </si>
  <si>
    <t>25,4</t>
  </si>
  <si>
    <t>14700,0</t>
  </si>
  <si>
    <t>15,6</t>
  </si>
  <si>
    <t>21,6</t>
  </si>
  <si>
    <t>22,5</t>
  </si>
  <si>
    <t>13,1</t>
  </si>
  <si>
    <t>27,4</t>
  </si>
  <si>
    <t>30,8</t>
  </si>
  <si>
    <t>28,0</t>
  </si>
  <si>
    <t>16,3</t>
  </si>
  <si>
    <t>20,7</t>
  </si>
  <si>
    <t>24,8</t>
  </si>
  <si>
    <t>17,1</t>
  </si>
  <si>
    <t>25,2</t>
  </si>
  <si>
    <t>21,5</t>
  </si>
  <si>
    <t>15,9</t>
  </si>
  <si>
    <t>22,1</t>
  </si>
  <si>
    <t>28,1</t>
  </si>
  <si>
    <t>1,9</t>
  </si>
  <si>
    <t>11,2</t>
  </si>
  <si>
    <t>25,1</t>
  </si>
  <si>
    <t>27,5</t>
  </si>
  <si>
    <t>12250,0</t>
  </si>
  <si>
    <t>10,6</t>
  </si>
  <si>
    <t>29,1</t>
  </si>
  <si>
    <t>9,5</t>
  </si>
  <si>
    <t>30,3</t>
  </si>
  <si>
    <t>17,0</t>
  </si>
  <si>
    <t>15,5</t>
  </si>
  <si>
    <t>22,6</t>
  </si>
  <si>
    <t>14000,0</t>
  </si>
  <si>
    <t>13,6</t>
  </si>
  <si>
    <t>10,4</t>
  </si>
  <si>
    <t>29,9</t>
  </si>
  <si>
    <t>19,0</t>
  </si>
  <si>
    <t>32,4</t>
  </si>
  <si>
    <t>11,1</t>
  </si>
  <si>
    <t>34,5</t>
  </si>
  <si>
    <t>14,5</t>
  </si>
  <si>
    <t>23,6</t>
  </si>
  <si>
    <t>13,4</t>
  </si>
  <si>
    <t>26,5</t>
  </si>
  <si>
    <t>35,2</t>
  </si>
  <si>
    <t>10,1</t>
  </si>
  <si>
    <t>20,0</t>
  </si>
  <si>
    <t>14,2</t>
  </si>
  <si>
    <t>2,7</t>
  </si>
  <si>
    <t>24,9</t>
  </si>
  <si>
    <t>24,4</t>
  </si>
  <si>
    <t>15,7</t>
  </si>
  <si>
    <t>16,2</t>
  </si>
  <si>
    <t>23,3</t>
  </si>
  <si>
    <t>19,4</t>
  </si>
  <si>
    <t>19,6</t>
  </si>
  <si>
    <t>19,5</t>
  </si>
  <si>
    <t>18,7</t>
  </si>
  <si>
    <t>13,8</t>
  </si>
  <si>
    <t>21,1</t>
  </si>
  <si>
    <t>12,8</t>
  </si>
  <si>
    <t>28,2</t>
  </si>
  <si>
    <t>9,9</t>
  </si>
  <si>
    <t>27,8</t>
  </si>
  <si>
    <t>27,7</t>
  </si>
  <si>
    <t>19,9</t>
  </si>
  <si>
    <t>28,8</t>
  </si>
  <si>
    <t>11,0</t>
  </si>
  <si>
    <t>17,9</t>
  </si>
  <si>
    <t>21,4</t>
  </si>
  <si>
    <t>6,6</t>
  </si>
  <si>
    <t>35,9</t>
  </si>
  <si>
    <t>31,5</t>
  </si>
  <si>
    <t>32,2</t>
  </si>
  <si>
    <t>11,4</t>
  </si>
  <si>
    <t>34,4</t>
  </si>
  <si>
    <t>20,9</t>
  </si>
  <si>
    <t>10,9</t>
  </si>
  <si>
    <t>27,0</t>
  </si>
  <si>
    <t>11,7</t>
  </si>
  <si>
    <t>30,4</t>
  </si>
  <si>
    <t>24,3</t>
  </si>
  <si>
    <t>11,5</t>
  </si>
  <si>
    <t>34,2</t>
  </si>
  <si>
    <t>14,4</t>
  </si>
  <si>
    <t>9,7</t>
  </si>
  <si>
    <t>27,6</t>
  </si>
  <si>
    <t>23,1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</si>
  <si>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</si>
  <si>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</si>
  <si>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</si>
  <si>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</si>
  <si>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</si>
  <si>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</si>
  <si>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</si>
  <si>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</si>
  <si>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</si>
  <si>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</si>
  <si>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</si>
  <si>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</si>
  <si>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</si>
  <si>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</si>
  <si>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</si>
  <si>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</si>
  <si>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</si>
  <si>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</si>
  <si>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</si>
  <si>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</si>
  <si>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</si>
  <si>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</si>
  <si>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</si>
  <si>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</si>
  <si>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</si>
  <si>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</si>
  <si>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</si>
  <si>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</si>
  <si>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</si>
  <si>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</si>
  <si>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</si>
  <si>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</si>
  <si>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</si>
  <si>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</si>
  <si>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</si>
  <si>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</si>
  <si>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</si>
  <si>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</si>
  <si>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</si>
  <si>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</si>
  <si>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</si>
  <si>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</si>
  <si>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</si>
  <si>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</si>
  <si>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</si>
  <si>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</si>
  <si>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</si>
  <si>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</si>
  <si>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</si>
  <si>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</si>
  <si>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</si>
  <si>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</si>
  <si>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</si>
  <si>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</si>
  <si>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</si>
  <si>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</si>
  <si>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</si>
  <si>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</si>
  <si>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</si>
  <si>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</si>
  <si>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</si>
  <si>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</si>
  <si>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</si>
  <si>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</si>
  <si>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</si>
  <si>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</si>
  <si>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</si>
  <si>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</si>
  <si>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</si>
  <si>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</si>
  <si>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</si>
  <si>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</si>
  <si>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</si>
  <si>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</si>
  <si>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</si>
  <si>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</si>
  <si>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</si>
  <si>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</si>
  <si>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</si>
  <si>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Zarza-Perrunal, La</t>
  </si>
  <si>
    <t>20,5</t>
  </si>
  <si>
    <t>12,2</t>
  </si>
  <si>
    <t>2,8</t>
  </si>
  <si>
    <t>3,0</t>
  </si>
  <si>
    <t>15400,0</t>
  </si>
  <si>
    <t>10,5</t>
  </si>
  <si>
    <t>10,7</t>
  </si>
  <si>
    <t>26,2</t>
  </si>
  <si>
    <t>11,8</t>
  </si>
  <si>
    <t>14,6</t>
  </si>
  <si>
    <t>20,3</t>
  </si>
  <si>
    <t>25,9</t>
  </si>
  <si>
    <t>11550,0</t>
  </si>
  <si>
    <t>12,6</t>
  </si>
  <si>
    <t>15,4</t>
  </si>
  <si>
    <t>21,8</t>
  </si>
  <si>
    <t>6,3</t>
  </si>
  <si>
    <t>35,8</t>
  </si>
  <si>
    <t>18,1</t>
  </si>
  <si>
    <t>23,4</t>
  </si>
  <si>
    <t>26,0</t>
  </si>
  <si>
    <t>2,9</t>
  </si>
  <si>
    <t>6,2</t>
  </si>
  <si>
    <t>24,2</t>
  </si>
  <si>
    <t>11,6</t>
  </si>
  <si>
    <t>9,8</t>
  </si>
  <si>
    <t>24,6</t>
  </si>
  <si>
    <t>1,8</t>
  </si>
  <si>
    <t>5,0</t>
  </si>
  <si>
    <t>34,0</t>
  </si>
  <si>
    <t>23,8</t>
  </si>
  <si>
    <t>29,4</t>
  </si>
  <si>
    <t>13,5</t>
  </si>
  <si>
    <t>24150,0</t>
  </si>
  <si>
    <t>19250,0</t>
  </si>
  <si>
    <t>18550,0</t>
  </si>
  <si>
    <t>21,3</t>
  </si>
  <si>
    <t>8,5</t>
  </si>
  <si>
    <t>27,9</t>
  </si>
  <si>
    <t>25,3</t>
  </si>
  <si>
    <t>24,0</t>
  </si>
  <si>
    <t>22,7</t>
  </si>
  <si>
    <t>14,7</t>
  </si>
  <si>
    <t>29,8</t>
  </si>
  <si>
    <t>25,8</t>
  </si>
  <si>
    <t>28,5</t>
  </si>
  <si>
    <t>22,9</t>
  </si>
  <si>
    <t>10,0</t>
  </si>
  <si>
    <t>22050,0</t>
  </si>
  <si>
    <t>10,8</t>
  </si>
  <si>
    <t>31,3</t>
  </si>
  <si>
    <t>36,4</t>
  </si>
  <si>
    <t>26,7</t>
  </si>
  <si>
    <t>22,2</t>
  </si>
  <si>
    <t>12,5</t>
  </si>
  <si>
    <t>25550,0</t>
  </si>
  <si>
    <t>27650,0</t>
  </si>
  <si>
    <t>29050,0</t>
  </si>
  <si>
    <t>23450,0</t>
  </si>
  <si>
    <t>22,3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</si>
  <si>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</si>
  <si>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</si>
  <si>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</si>
  <si>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</si>
  <si>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</si>
  <si>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</si>
  <si>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</si>
  <si>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</si>
  <si>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</si>
  <si>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</si>
  <si>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</si>
  <si>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</si>
  <si>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</si>
  <si>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</si>
  <si>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</si>
  <si>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</si>
  <si>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</si>
  <si>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</si>
  <si>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</si>
  <si>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</si>
  <si>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</si>
  <si>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</si>
  <si>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</si>
  <si>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</si>
  <si>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</si>
  <si>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</si>
  <si>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</si>
  <si>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</si>
  <si>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</si>
  <si>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</si>
  <si>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</si>
  <si>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</si>
  <si>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</si>
  <si>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</si>
  <si>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</si>
  <si>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</si>
  <si>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</si>
  <si>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</si>
  <si>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</si>
  <si>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</si>
  <si>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</si>
  <si>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</si>
  <si>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</si>
  <si>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</si>
  <si>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</si>
  <si>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</si>
  <si>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</si>
  <si>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Lebrija</t>
  </si>
  <si>
    <t>Lora de Estepa</t>
  </si>
  <si>
    <t>Lora del Río</t>
  </si>
  <si>
    <t>Mairena del Alcor</t>
  </si>
  <si>
    <t>Mairena del Aljarafe</t>
  </si>
  <si>
    <t>Marinaleda</t>
  </si>
  <si>
    <t>Marchena</t>
  </si>
  <si>
    <t>Montellano</t>
  </si>
  <si>
    <t>Morón de la Frontera</t>
  </si>
  <si>
    <t>Olivares</t>
  </si>
  <si>
    <t>Osuna</t>
  </si>
  <si>
    <t>Palomares del Río</t>
  </si>
  <si>
    <t>Paradas</t>
  </si>
  <si>
    <t>Pedrera</t>
  </si>
  <si>
    <t>Peñaflor</t>
  </si>
  <si>
    <t>Pilas</t>
  </si>
  <si>
    <t>Pruna</t>
  </si>
  <si>
    <t>Real de la Jara, El</t>
  </si>
  <si>
    <t>Salteras</t>
  </si>
  <si>
    <t>San Juan de Aznalfarache</t>
  </si>
  <si>
    <t>San Nicolás del Puerto</t>
  </si>
  <si>
    <t>Sanlúcar la Mayor</t>
  </si>
  <si>
    <t>Santiponce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</si>
  <si>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</si>
  <si>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</si>
  <si>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</si>
  <si>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</si>
  <si>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</si>
  <si>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</si>
  <si>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</si>
  <si>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</si>
  <si>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</si>
  <si>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</si>
  <si>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</si>
  <si>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Algaba, La</t>
  </si>
  <si>
    <t>Cabezas de San Juan, Las</t>
  </si>
  <si>
    <t>Campana, La</t>
  </si>
  <si>
    <t>Castillo de las Guardas, El</t>
  </si>
  <si>
    <t>Coronil, El</t>
  </si>
  <si>
    <t>Corrales, Los</t>
  </si>
  <si>
    <t>Luisiana, La</t>
  </si>
  <si>
    <t>Madroño, El</t>
  </si>
  <si>
    <t>Martín de la Jara</t>
  </si>
  <si>
    <t>Molares, Los</t>
  </si>
  <si>
    <t>Navas de la Concepción, Las</t>
  </si>
  <si>
    <t>Palacios y Villafranca, Los</t>
  </si>
  <si>
    <t>Pedroso, El</t>
  </si>
  <si>
    <t>Puebla de Cazalla, La</t>
  </si>
  <si>
    <t>Puebla de los Infantes, La</t>
  </si>
  <si>
    <t>Puebla del Río, La</t>
  </si>
  <si>
    <t>Rinconada, La</t>
  </si>
  <si>
    <t>Roda de Andalucía, La</t>
  </si>
  <si>
    <t>Ronquillo, El</t>
  </si>
  <si>
    <t>Rubio, El</t>
  </si>
  <si>
    <t>Saucejo, El</t>
  </si>
  <si>
    <t>Viso del Alcor, El</t>
  </si>
  <si>
    <t>Isla Mayor</t>
  </si>
  <si>
    <t>Cuervo de Sevilla, El</t>
  </si>
  <si>
    <t>Palmar de Troya, El</t>
  </si>
  <si>
    <t>Wi: PESO</t>
  </si>
  <si>
    <t>Fuente Carreteros</t>
  </si>
  <si>
    <t>Latitud</t>
  </si>
  <si>
    <t>Longitud</t>
  </si>
  <si>
    <t>Peso</t>
  </si>
  <si>
    <t>13650.0</t>
  </si>
  <si>
    <t>15050.0</t>
  </si>
  <si>
    <t>15750.0</t>
  </si>
  <si>
    <t>14350.0</t>
  </si>
  <si>
    <t>24850.0</t>
  </si>
  <si>
    <t>18550.0</t>
  </si>
  <si>
    <t>16450.0</t>
  </si>
  <si>
    <t>17150.0</t>
  </si>
  <si>
    <t>20650.0</t>
  </si>
  <si>
    <t>12950.0</t>
  </si>
  <si>
    <t>12250.0</t>
  </si>
  <si>
    <t>17850.0</t>
  </si>
  <si>
    <t>21350.0</t>
  </si>
  <si>
    <t>19250.0</t>
  </si>
  <si>
    <t>19950.0</t>
  </si>
  <si>
    <t>10850.0</t>
  </si>
  <si>
    <t>10150.0</t>
  </si>
  <si>
    <t>24150.0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</si>
  <si>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</si>
  <si>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</si>
  <si>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</si>
  <si>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</si>
  <si>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</si>
  <si>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</si>
  <si>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</si>
  <si>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</si>
  <si>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</si>
  <si>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</si>
  <si>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</si>
  <si>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</si>
  <si>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</si>
  <si>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</si>
  <si>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</si>
  <si>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</si>
  <si>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</si>
  <si>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</si>
  <si>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</si>
  <si>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</si>
  <si>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</si>
  <si>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</si>
  <si>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</si>
  <si>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</si>
  <si>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</si>
  <si>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</si>
  <si>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</si>
  <si>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</si>
  <si>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</si>
  <si>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</si>
  <si>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</si>
  <si>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</si>
  <si>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</si>
  <si>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</si>
  <si>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</si>
  <si>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</si>
  <si>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</si>
  <si>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</si>
  <si>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</si>
  <si>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</si>
  <si>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</si>
  <si>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Benalup-Casas Viejas</t>
  </si>
  <si>
    <t>San José del Valle</t>
  </si>
  <si>
    <t>San Martín del Tesorillo</t>
  </si>
  <si>
    <t>Zahara</t>
  </si>
  <si>
    <t>Media Mediana renta</t>
  </si>
  <si>
    <t>Media Tamaño hogar</t>
  </si>
  <si>
    <t>Seccion INE</t>
  </si>
  <si>
    <t>Montalbán de Córdoba</t>
  </si>
  <si>
    <t>Peñarroya-Pueblonuevo</t>
  </si>
  <si>
    <t>Priego de Córdoba</t>
  </si>
  <si>
    <t>San Sebastián de los Ballesteros</t>
  </si>
  <si>
    <t>Villafranca de Córdoba</t>
  </si>
  <si>
    <t>Villanueva de Córdoba</t>
  </si>
  <si>
    <t>Villanueva del Duque</t>
  </si>
  <si>
    <t>Villanueva del Rey</t>
  </si>
  <si>
    <t>Villaviciosa de Córdoba</t>
  </si>
  <si>
    <t>Blázquez. Los</t>
  </si>
  <si>
    <t>Carlota. La</t>
  </si>
  <si>
    <t>Carpio. El</t>
  </si>
  <si>
    <t>Granjuela. La</t>
  </si>
  <si>
    <t>Guijarrosa. La</t>
  </si>
  <si>
    <t>Guijo. El</t>
  </si>
  <si>
    <t>Rambla. La</t>
  </si>
  <si>
    <t>Victoria. La</t>
  </si>
  <si>
    <t>Viso. El</t>
  </si>
  <si>
    <t>Almendro. El</t>
  </si>
  <si>
    <t>Campillo. El</t>
  </si>
  <si>
    <t>Cerro de Andévalo. El</t>
  </si>
  <si>
    <t>Granada de Río-Tinto. La</t>
  </si>
  <si>
    <t>Granado. El</t>
  </si>
  <si>
    <t>Marines. Los</t>
  </si>
  <si>
    <t>Nava. La</t>
  </si>
  <si>
    <t>Palma del Condado. La</t>
  </si>
  <si>
    <t>Zarza-Perrunal. La</t>
  </si>
  <si>
    <t>Algaba. La</t>
  </si>
  <si>
    <t>Cabezas de San Juan. Las</t>
  </si>
  <si>
    <t>Campana. La</t>
  </si>
  <si>
    <t>Castillo de las Guardas. El</t>
  </si>
  <si>
    <t>Coronil. El</t>
  </si>
  <si>
    <t>Corrales. Los</t>
  </si>
  <si>
    <t>Cuervo de Sevilla. El</t>
  </si>
  <si>
    <t>Garrobo. El</t>
  </si>
  <si>
    <t>Luisiana. La</t>
  </si>
  <si>
    <t>Madroño. El</t>
  </si>
  <si>
    <t>Molares. Los</t>
  </si>
  <si>
    <t>Navas de la Concepción. Las</t>
  </si>
  <si>
    <t>Palacios y Villafranca. Los</t>
  </si>
  <si>
    <t>Palmar de Troya. El</t>
  </si>
  <si>
    <t>Pedroso. El</t>
  </si>
  <si>
    <t>Puebla de Cazalla. La</t>
  </si>
  <si>
    <t>Puebla de los Infantes. La</t>
  </si>
  <si>
    <t>Puebla del Río. La</t>
  </si>
  <si>
    <t>Real de la Jara. El</t>
  </si>
  <si>
    <t>Rinconada. La</t>
  </si>
  <si>
    <t>Roda de Andalucía. La</t>
  </si>
  <si>
    <t>Ronquillo. El</t>
  </si>
  <si>
    <t>Rubio. El</t>
  </si>
  <si>
    <t>Saucejo. El</t>
  </si>
  <si>
    <t>Viso del Alcor. El</t>
  </si>
  <si>
    <t>Barrios. Los</t>
  </si>
  <si>
    <t>Bosque. El</t>
  </si>
  <si>
    <t>Gastor. El</t>
  </si>
  <si>
    <t>Línea de la Concepción. La</t>
  </si>
  <si>
    <t>Puerto de Santa María.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</si>
</sst>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64" fontId="1" fillId="0" borderId="1" xfId="0" applyNumberFormat="1" applyFont="1" applyBorder="1" applyAlignment="1">
      <alignment vertical="center" wrapText="1" readingOrder="1"/>
    </xf>
    <xf numFmtId="165" fontId="2" fillId="0" borderId="1" xfId="0" applyNumberFormat="1" applyFont="1" applyBorder="1" applyAlignment="1">
      <alignment vertical="center" wrapText="1" readingOrder="1"/>
    </xf>
    <xf numFmtId="165" fontId="1" fillId="0" borderId="1" xfId="0" applyNumberFormat="1" applyFont="1" applyBorder="1" applyAlignment="1">
      <alignment vertical="center" wrapText="1" readingOrder="1"/>
    </xf>
    <xf numFmtId="165" fontId="0" fillId="0" borderId="0" xfId="0" applyNumberFormat="1"/>
    <xf numFmtId="166" fontId="1" fillId="0" borderId="1" xfId="0" applyNumberFormat="1" applyFont="1" applyBorder="1" applyAlignment="1">
      <alignment vertical="center" wrapText="1" readingOrder="1"/>
    </xf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vertical="center" wrapText="1" readingOrder="1"/>
    </xf>
    <xf numFmtId="165" fontId="2" fillId="0" borderId="2" xfId="0" applyNumberFormat="1" applyFont="1" applyBorder="1" applyAlignment="1">
      <alignment vertical="center" wrapText="1" readingOrder="1"/>
    </xf>
    <xf numFmtId="165" fontId="2" fillId="2" borderId="1" xfId="0" applyNumberFormat="1" applyFont="1" applyFill="1" applyBorder="1" applyAlignment="1">
      <alignment vertical="center" wrapText="1" readingOrder="1"/>
    </xf>
    <xf numFmtId="0" fontId="3" fillId="0" borderId="0" xfId="0" applyFont="1" applyAlignment="1">
      <alignment horizontal="left" vertical="center" wrapText="1" indent="1" readingOrder="1"/>
    </xf>
    <xf numFmtId="0" fontId="0" fillId="0" borderId="0" xfId="0" applyFill="1"/>
    <xf numFmtId="165" fontId="2" fillId="0" borderId="2" xfId="0" applyNumberFormat="1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817679</xdr:colOff>
      <xdr:row>3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7DA1EC-74CE-775E-DFDA-6F6D471CB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944159" cy="14020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1D65-D21E-4940-8AD4-845E851E62DA}">
  <dimension ref="A1:D659"/>
  <sheetViews>
    <sheetView tabSelected="1" workbookViewId="0">
      <selection activeCell="J11" sqref="J11"/>
    </sheetView>
  </sheetViews>
  <sheetFormatPr baseColWidth="10" defaultRowHeight="14.4" x14ac:dyDescent="0.3"/>
  <sheetData>
    <row r="1" spans="1:4" x14ac:dyDescent="0.3">
      <c r="A1" s="12" t="s">
        <v>591</v>
      </c>
      <c r="B1" t="s">
        <v>523</v>
      </c>
      <c r="C1" t="s">
        <v>524</v>
      </c>
      <c r="D1" t="s">
        <v>525</v>
      </c>
    </row>
    <row r="2" spans="1:4" x14ac:dyDescent="0.3">
      <c r="A2" s="12">
        <v>1400101</v>
      </c>
      <c r="B2">
        <v>38.029434000000002</v>
      </c>
      <c r="C2">
        <v>-4.5209840000000003</v>
      </c>
      <c r="D2">
        <v>3602.044197095398</v>
      </c>
    </row>
    <row r="3" spans="1:4" x14ac:dyDescent="0.3">
      <c r="A3" s="12">
        <v>1400201</v>
      </c>
      <c r="B3">
        <v>37.518050000000002</v>
      </c>
      <c r="C3">
        <v>-4.6601610000000004</v>
      </c>
      <c r="D3">
        <v>2648.6618498257149</v>
      </c>
    </row>
    <row r="4" spans="1:4" x14ac:dyDescent="0.3">
      <c r="A4" s="12">
        <v>1400202</v>
      </c>
      <c r="B4">
        <v>37.528205999999997</v>
      </c>
      <c r="C4">
        <v>-4.6679000000000004</v>
      </c>
      <c r="D4">
        <v>3456.7699025606698</v>
      </c>
    </row>
    <row r="5" spans="1:4" x14ac:dyDescent="0.3">
      <c r="A5" s="12">
        <v>1400203</v>
      </c>
      <c r="B5">
        <v>37.447969999999998</v>
      </c>
      <c r="C5">
        <v>-4.693816</v>
      </c>
      <c r="D5">
        <v>5775.3123696915372</v>
      </c>
    </row>
    <row r="6" spans="1:4" x14ac:dyDescent="0.3">
      <c r="A6" s="12">
        <v>1400301</v>
      </c>
      <c r="B6">
        <v>38.293909999999997</v>
      </c>
      <c r="C6">
        <v>-4.9359099999999998</v>
      </c>
      <c r="D6">
        <v>1443.7910885875699</v>
      </c>
    </row>
    <row r="7" spans="1:4" x14ac:dyDescent="0.3">
      <c r="A7" s="12">
        <v>1400401</v>
      </c>
      <c r="B7">
        <v>37.440367000000002</v>
      </c>
      <c r="C7">
        <v>-4.089588</v>
      </c>
      <c r="D7">
        <v>1341.5893659833193</v>
      </c>
    </row>
    <row r="8" spans="1:4" x14ac:dyDescent="0.3">
      <c r="A8" s="12">
        <v>1400402</v>
      </c>
      <c r="B8">
        <v>37.435676999999998</v>
      </c>
      <c r="C8">
        <v>-4.0668810000000004</v>
      </c>
      <c r="D8">
        <v>635.81877127063683</v>
      </c>
    </row>
    <row r="9" spans="1:4" x14ac:dyDescent="0.3">
      <c r="A9" s="12">
        <v>1400501</v>
      </c>
      <c r="B9">
        <v>37.810850000000002</v>
      </c>
      <c r="C9">
        <v>-5.0158250000000004</v>
      </c>
      <c r="D9">
        <v>7394.277446786029</v>
      </c>
    </row>
    <row r="10" spans="1:4" x14ac:dyDescent="0.3">
      <c r="A10" s="12">
        <v>1400601</v>
      </c>
      <c r="B10">
        <v>38.323551999999999</v>
      </c>
      <c r="C10">
        <v>-4.8672510000000004</v>
      </c>
      <c r="D10">
        <v>1620.1900962167445</v>
      </c>
    </row>
    <row r="11" spans="1:4" x14ac:dyDescent="0.3">
      <c r="A11" s="12">
        <v>1400701</v>
      </c>
      <c r="B11">
        <v>37.615324000000001</v>
      </c>
      <c r="C11">
        <v>-4.3259160000000003</v>
      </c>
      <c r="D11">
        <v>3497.669172363338</v>
      </c>
    </row>
    <row r="12" spans="1:4" x14ac:dyDescent="0.3">
      <c r="A12" s="12">
        <v>1400702</v>
      </c>
      <c r="B12">
        <v>37.615301000000002</v>
      </c>
      <c r="C12">
        <v>-4.3316129999999999</v>
      </c>
      <c r="D12">
        <v>1218.2806946044091</v>
      </c>
    </row>
    <row r="13" spans="1:4" x14ac:dyDescent="0.3">
      <c r="A13" s="12">
        <v>1400703</v>
      </c>
      <c r="B13">
        <v>37.618161000000001</v>
      </c>
      <c r="C13">
        <v>-4.323029</v>
      </c>
      <c r="D13">
        <v>9779.5160752751781</v>
      </c>
    </row>
    <row r="14" spans="1:4" x14ac:dyDescent="0.3">
      <c r="A14" s="12">
        <v>1400704</v>
      </c>
      <c r="B14">
        <v>37.612726000000002</v>
      </c>
      <c r="C14">
        <v>-4.328506</v>
      </c>
      <c r="D14">
        <v>1302.8357608528795</v>
      </c>
    </row>
    <row r="15" spans="1:4" x14ac:dyDescent="0.3">
      <c r="A15" s="12">
        <v>1400705</v>
      </c>
      <c r="B15">
        <v>37.670001999999997</v>
      </c>
      <c r="C15">
        <v>-4.2376870000000002</v>
      </c>
      <c r="D15">
        <v>886.39413069559089</v>
      </c>
    </row>
    <row r="16" spans="1:4" x14ac:dyDescent="0.3">
      <c r="A16" s="12">
        <v>1400801</v>
      </c>
      <c r="B16">
        <v>38.578968000000003</v>
      </c>
      <c r="C16">
        <v>-5.1708280000000002</v>
      </c>
      <c r="D16">
        <v>484.56621717722726</v>
      </c>
    </row>
    <row r="17" spans="1:4" x14ac:dyDescent="0.3">
      <c r="A17" s="12">
        <v>1400802</v>
      </c>
      <c r="B17">
        <v>38.576594999999998</v>
      </c>
      <c r="C17">
        <v>-5.1635929999999997</v>
      </c>
      <c r="D17">
        <v>605.25324665483663</v>
      </c>
    </row>
    <row r="18" spans="1:4" x14ac:dyDescent="0.3">
      <c r="A18" s="12">
        <v>1400803</v>
      </c>
      <c r="B18">
        <v>38.591397999999998</v>
      </c>
      <c r="C18">
        <v>-5.1487309999999997</v>
      </c>
      <c r="D18">
        <v>572.31290419033326</v>
      </c>
    </row>
    <row r="19" spans="1:4" x14ac:dyDescent="0.3">
      <c r="A19" s="12">
        <v>1400804</v>
      </c>
      <c r="B19">
        <v>38.574817000000003</v>
      </c>
      <c r="C19">
        <v>-5.1695010000000003</v>
      </c>
      <c r="D19">
        <v>827.2157292363039</v>
      </c>
    </row>
    <row r="20" spans="1:4" x14ac:dyDescent="0.3">
      <c r="A20" s="12">
        <v>1400901</v>
      </c>
      <c r="B20">
        <v>38.270890999999999</v>
      </c>
      <c r="C20">
        <v>-5.2104369999999998</v>
      </c>
      <c r="D20">
        <v>1139.5941845275761</v>
      </c>
    </row>
    <row r="21" spans="1:4" x14ac:dyDescent="0.3">
      <c r="A21" s="12">
        <v>1400902</v>
      </c>
      <c r="B21">
        <v>38.272323</v>
      </c>
      <c r="C21">
        <v>-5.2071719999999999</v>
      </c>
      <c r="D21">
        <v>661.23597146498389</v>
      </c>
    </row>
    <row r="22" spans="1:4" x14ac:dyDescent="0.3">
      <c r="A22" s="12">
        <v>1400903</v>
      </c>
      <c r="B22">
        <v>38.265571999999999</v>
      </c>
      <c r="C22">
        <v>-5.1839820000000003</v>
      </c>
      <c r="D22">
        <v>734.97894332630688</v>
      </c>
    </row>
    <row r="23" spans="1:4" x14ac:dyDescent="0.3">
      <c r="A23" s="12">
        <v>1401001</v>
      </c>
      <c r="B23">
        <v>37.268428999999998</v>
      </c>
      <c r="C23">
        <v>-4.5453400000000004</v>
      </c>
      <c r="D23">
        <v>1311.862314639634</v>
      </c>
    </row>
    <row r="24" spans="1:4" x14ac:dyDescent="0.3">
      <c r="A24" s="12">
        <v>1401002</v>
      </c>
      <c r="B24">
        <v>37.268991999999997</v>
      </c>
      <c r="C24">
        <v>-4.5404650000000002</v>
      </c>
      <c r="D24">
        <v>2098.8074602536271</v>
      </c>
    </row>
    <row r="25" spans="1:4" x14ac:dyDescent="0.3">
      <c r="A25" s="12">
        <v>1401003</v>
      </c>
      <c r="B25">
        <v>37.247439</v>
      </c>
      <c r="C25">
        <v>-4.5421649999999998</v>
      </c>
      <c r="D25">
        <v>1027.8118313778075</v>
      </c>
    </row>
    <row r="26" spans="1:4" x14ac:dyDescent="0.3">
      <c r="A26" s="12">
        <v>1401101</v>
      </c>
      <c r="B26">
        <v>38.424660000000003</v>
      </c>
      <c r="C26">
        <v>-5.4540439999999997</v>
      </c>
      <c r="D26">
        <v>495.72651654950613</v>
      </c>
    </row>
    <row r="27" spans="1:4" x14ac:dyDescent="0.3">
      <c r="A27" s="12">
        <v>1401201</v>
      </c>
      <c r="B27">
        <v>37.899588000000001</v>
      </c>
      <c r="C27">
        <v>-4.3820480000000002</v>
      </c>
      <c r="D27">
        <v>1727.150979769973</v>
      </c>
    </row>
    <row r="28" spans="1:4" x14ac:dyDescent="0.3">
      <c r="A28" s="12">
        <v>1401202</v>
      </c>
      <c r="B28">
        <v>37.894025999999997</v>
      </c>
      <c r="C28">
        <v>-4.3744230000000002</v>
      </c>
      <c r="D28">
        <v>1510.324456540566</v>
      </c>
    </row>
    <row r="29" spans="1:4" x14ac:dyDescent="0.3">
      <c r="A29" s="12">
        <v>1401203</v>
      </c>
      <c r="B29">
        <v>37.889890999999999</v>
      </c>
      <c r="C29">
        <v>-4.4192299999999998</v>
      </c>
      <c r="D29">
        <v>1639.9750982825549</v>
      </c>
    </row>
    <row r="30" spans="1:4" x14ac:dyDescent="0.3">
      <c r="A30" s="12">
        <v>1401204</v>
      </c>
      <c r="B30">
        <v>37.895238999999997</v>
      </c>
      <c r="C30">
        <v>-4.385726</v>
      </c>
      <c r="D30">
        <v>1447.6180964896478</v>
      </c>
    </row>
    <row r="31" spans="1:4" x14ac:dyDescent="0.3">
      <c r="A31" s="12">
        <v>1401301</v>
      </c>
      <c r="B31">
        <v>37.474178999999999</v>
      </c>
      <c r="C31">
        <v>-4.4409520000000002</v>
      </c>
      <c r="D31">
        <v>9394.8983205799268</v>
      </c>
    </row>
    <row r="32" spans="1:4" x14ac:dyDescent="0.3">
      <c r="A32" s="12">
        <v>1401302</v>
      </c>
      <c r="B32">
        <v>37.471158000000003</v>
      </c>
      <c r="C32">
        <v>-4.4423110000000001</v>
      </c>
      <c r="D32">
        <v>4077.7880725317737</v>
      </c>
    </row>
    <row r="33" spans="1:4" x14ac:dyDescent="0.3">
      <c r="A33" s="12">
        <v>1401303</v>
      </c>
      <c r="B33">
        <v>37.473252000000002</v>
      </c>
      <c r="C33">
        <v>-4.4448850000000002</v>
      </c>
      <c r="D33">
        <v>3984.2456614346634</v>
      </c>
    </row>
    <row r="34" spans="1:4" x14ac:dyDescent="0.3">
      <c r="A34" s="12">
        <v>1401304</v>
      </c>
      <c r="B34">
        <v>37.490012</v>
      </c>
      <c r="C34">
        <v>-4.4502240000000004</v>
      </c>
      <c r="D34">
        <v>1644.9053641532714</v>
      </c>
    </row>
    <row r="35" spans="1:4" x14ac:dyDescent="0.3">
      <c r="A35" s="12">
        <v>1401401</v>
      </c>
      <c r="B35">
        <v>37.894385999999997</v>
      </c>
      <c r="C35">
        <v>-4.3058699999999996</v>
      </c>
      <c r="D35">
        <v>1169.9221779865854</v>
      </c>
    </row>
    <row r="36" spans="1:4" x14ac:dyDescent="0.3">
      <c r="A36" s="12">
        <v>1401402</v>
      </c>
      <c r="B36">
        <v>37.826290999999998</v>
      </c>
      <c r="C36">
        <v>-4.33955</v>
      </c>
      <c r="D36">
        <v>1247.7721637978152</v>
      </c>
    </row>
    <row r="37" spans="1:4" x14ac:dyDescent="0.3">
      <c r="A37" s="12">
        <v>1401501</v>
      </c>
      <c r="B37">
        <v>37.467903</v>
      </c>
      <c r="C37">
        <v>-4.2967040000000001</v>
      </c>
      <c r="D37">
        <v>2012.274108529263</v>
      </c>
    </row>
    <row r="38" spans="1:4" x14ac:dyDescent="0.3">
      <c r="A38" s="12">
        <v>1401601</v>
      </c>
      <c r="B38">
        <v>38.314208000000001</v>
      </c>
      <c r="C38">
        <v>-4.3230019999999998</v>
      </c>
      <c r="D38">
        <v>1226.1971580433353</v>
      </c>
    </row>
    <row r="39" spans="1:4" x14ac:dyDescent="0.3">
      <c r="A39" s="12">
        <v>1401701</v>
      </c>
      <c r="B39">
        <v>37.671143999999998</v>
      </c>
      <c r="C39">
        <v>-4.9322559999999998</v>
      </c>
      <c r="D39">
        <v>9913.2202161311252</v>
      </c>
    </row>
    <row r="40" spans="1:4" x14ac:dyDescent="0.3">
      <c r="A40" s="12">
        <v>1401702</v>
      </c>
      <c r="B40">
        <v>37.641015000000003</v>
      </c>
      <c r="C40">
        <v>-4.9355630000000001</v>
      </c>
      <c r="D40">
        <v>2488.7984123125443</v>
      </c>
    </row>
    <row r="41" spans="1:4" x14ac:dyDescent="0.3">
      <c r="A41" s="12">
        <v>1401703</v>
      </c>
      <c r="B41">
        <v>37.694293999999999</v>
      </c>
      <c r="C41">
        <v>-4.9581600000000003</v>
      </c>
      <c r="D41">
        <v>1492.7888428474978</v>
      </c>
    </row>
    <row r="42" spans="1:4" x14ac:dyDescent="0.3">
      <c r="A42" s="12">
        <v>1401801</v>
      </c>
      <c r="B42">
        <v>37.939906999999998</v>
      </c>
      <c r="C42">
        <v>-4.4989049999999997</v>
      </c>
      <c r="D42">
        <v>1217.8371190515184</v>
      </c>
    </row>
    <row r="43" spans="1:4" x14ac:dyDescent="0.3">
      <c r="A43" s="12">
        <v>1401802</v>
      </c>
      <c r="B43">
        <v>37.945022000000002</v>
      </c>
      <c r="C43">
        <v>-4.4969650000000003</v>
      </c>
      <c r="D43">
        <v>3306.1404552104946</v>
      </c>
    </row>
    <row r="44" spans="1:4" x14ac:dyDescent="0.3">
      <c r="A44" s="12">
        <v>1401901</v>
      </c>
      <c r="B44">
        <v>37.688597000000001</v>
      </c>
      <c r="C44">
        <v>-4.4847780000000004</v>
      </c>
      <c r="D44">
        <v>1024.1400063936196</v>
      </c>
    </row>
    <row r="45" spans="1:4" x14ac:dyDescent="0.3">
      <c r="A45" s="12">
        <v>1401902</v>
      </c>
      <c r="B45">
        <v>37.694085999999999</v>
      </c>
      <c r="C45">
        <v>-4.4812219999999998</v>
      </c>
      <c r="D45">
        <v>1657.7411422923221</v>
      </c>
    </row>
    <row r="46" spans="1:4" x14ac:dyDescent="0.3">
      <c r="A46" s="12">
        <v>1401903</v>
      </c>
      <c r="B46">
        <v>37.682246999999997</v>
      </c>
      <c r="C46">
        <v>-4.4795119999999997</v>
      </c>
      <c r="D46">
        <v>1183.3490842336525</v>
      </c>
    </row>
    <row r="47" spans="1:4" x14ac:dyDescent="0.3">
      <c r="A47" s="12">
        <v>1401904</v>
      </c>
      <c r="B47">
        <v>37.690223000000003</v>
      </c>
      <c r="C47">
        <v>-4.4811389999999998</v>
      </c>
      <c r="D47">
        <v>2011.9756634497548</v>
      </c>
    </row>
    <row r="48" spans="1:4" x14ac:dyDescent="0.3">
      <c r="A48" s="12">
        <v>1401905</v>
      </c>
      <c r="B48">
        <v>37.692777</v>
      </c>
      <c r="C48">
        <v>-4.4731069999999997</v>
      </c>
      <c r="D48">
        <v>921.71878759615277</v>
      </c>
    </row>
    <row r="49" spans="1:4" x14ac:dyDescent="0.3">
      <c r="A49" s="12">
        <v>1402001</v>
      </c>
      <c r="B49">
        <v>38.405352000000001</v>
      </c>
      <c r="C49">
        <v>-4.4918360000000002</v>
      </c>
      <c r="D49">
        <v>281.17745433212377</v>
      </c>
    </row>
    <row r="50" spans="1:4" x14ac:dyDescent="0.3">
      <c r="A50" s="12">
        <v>1402101</v>
      </c>
      <c r="B50">
        <v>37.889479000000001</v>
      </c>
      <c r="C50">
        <v>-4.7748200000000001</v>
      </c>
      <c r="D50">
        <v>51644.147004250131</v>
      </c>
    </row>
    <row r="51" spans="1:4" x14ac:dyDescent="0.3">
      <c r="A51" s="12">
        <v>1402102</v>
      </c>
      <c r="B51">
        <v>37.889079000000002</v>
      </c>
      <c r="C51">
        <v>-4.7696059999999996</v>
      </c>
      <c r="D51">
        <v>54427.605395980856</v>
      </c>
    </row>
    <row r="52" spans="1:4" x14ac:dyDescent="0.3">
      <c r="A52" s="12">
        <v>1402103</v>
      </c>
      <c r="B52">
        <v>37.885907000000003</v>
      </c>
      <c r="C52">
        <v>-4.7743979999999997</v>
      </c>
      <c r="D52">
        <v>3737.2238468389087</v>
      </c>
    </row>
    <row r="53" spans="1:4" x14ac:dyDescent="0.3">
      <c r="A53" s="12">
        <v>1402104</v>
      </c>
      <c r="B53">
        <v>37.884501</v>
      </c>
      <c r="C53">
        <v>-4.7703100000000003</v>
      </c>
      <c r="D53">
        <v>6442.1247617146555</v>
      </c>
    </row>
    <row r="54" spans="1:4" x14ac:dyDescent="0.3">
      <c r="A54" s="12">
        <v>1402105</v>
      </c>
      <c r="B54">
        <v>37.882542000000001</v>
      </c>
      <c r="C54">
        <v>-4.7691949999999999</v>
      </c>
      <c r="D54">
        <v>32287.371376420069</v>
      </c>
    </row>
    <row r="55" spans="1:4" x14ac:dyDescent="0.3">
      <c r="A55" s="12">
        <v>1402106</v>
      </c>
      <c r="B55">
        <v>37.886178000000001</v>
      </c>
      <c r="C55">
        <v>-4.7813460000000001</v>
      </c>
      <c r="D55">
        <v>96968.734267124892</v>
      </c>
    </row>
    <row r="56" spans="1:4" x14ac:dyDescent="0.3">
      <c r="A56" s="12">
        <v>1402107</v>
      </c>
      <c r="B56">
        <v>37.885753000000001</v>
      </c>
      <c r="C56">
        <v>-4.7780139999999998</v>
      </c>
      <c r="D56">
        <v>7221.03141842061</v>
      </c>
    </row>
    <row r="57" spans="1:4" x14ac:dyDescent="0.3">
      <c r="A57" s="12">
        <v>1402108</v>
      </c>
      <c r="B57">
        <v>37.883290000000002</v>
      </c>
      <c r="C57">
        <v>-4.7747640000000002</v>
      </c>
      <c r="D57">
        <v>4339.9951246294031</v>
      </c>
    </row>
    <row r="58" spans="1:4" x14ac:dyDescent="0.3">
      <c r="A58" s="12">
        <v>1402109</v>
      </c>
      <c r="B58">
        <v>37.878746</v>
      </c>
      <c r="C58">
        <v>-4.7798990000000003</v>
      </c>
      <c r="D58">
        <v>35772.084741858816</v>
      </c>
    </row>
    <row r="59" spans="1:4" x14ac:dyDescent="0.3">
      <c r="A59" s="12">
        <v>1402110</v>
      </c>
      <c r="B59">
        <v>37.882744000000002</v>
      </c>
      <c r="C59">
        <v>-4.7844350000000002</v>
      </c>
      <c r="D59">
        <v>68622.76900694253</v>
      </c>
    </row>
    <row r="60" spans="1:4" x14ac:dyDescent="0.3">
      <c r="A60" s="12">
        <v>1402201</v>
      </c>
      <c r="B60">
        <v>37.552844999999998</v>
      </c>
      <c r="C60">
        <v>-4.3694600000000001</v>
      </c>
      <c r="D60">
        <v>2826.0446526169849</v>
      </c>
    </row>
    <row r="61" spans="1:4" x14ac:dyDescent="0.3">
      <c r="A61" s="12">
        <v>1402202</v>
      </c>
      <c r="B61">
        <v>37.553514</v>
      </c>
      <c r="C61">
        <v>-4.3599030000000001</v>
      </c>
      <c r="D61">
        <v>1248.2653724487336</v>
      </c>
    </row>
    <row r="62" spans="1:4" x14ac:dyDescent="0.3">
      <c r="A62" s="12">
        <v>1402301</v>
      </c>
      <c r="B62">
        <v>38.472766999999997</v>
      </c>
      <c r="C62">
        <v>-4.8513419999999998</v>
      </c>
      <c r="D62">
        <v>1391.910228556862</v>
      </c>
    </row>
    <row r="63" spans="1:4" x14ac:dyDescent="0.3">
      <c r="A63" s="12">
        <v>1402302</v>
      </c>
      <c r="B63">
        <v>38.431494000000001</v>
      </c>
      <c r="C63">
        <v>-4.8915129999999998</v>
      </c>
      <c r="D63">
        <v>948.93548427831547</v>
      </c>
    </row>
    <row r="64" spans="1:4" x14ac:dyDescent="0.3">
      <c r="A64" s="12">
        <v>1402401</v>
      </c>
      <c r="B64">
        <v>37.287149999999997</v>
      </c>
      <c r="C64">
        <v>-4.4995520000000004</v>
      </c>
      <c r="D64">
        <v>1125.3923994146919</v>
      </c>
    </row>
    <row r="65" spans="1:4" x14ac:dyDescent="0.3">
      <c r="A65" s="12">
        <v>1402402</v>
      </c>
      <c r="B65">
        <v>37.274946999999997</v>
      </c>
      <c r="C65">
        <v>-4.4654689999999997</v>
      </c>
      <c r="D65">
        <v>938.06565163785763</v>
      </c>
    </row>
    <row r="66" spans="1:4" x14ac:dyDescent="0.3">
      <c r="A66" s="12">
        <v>1402501</v>
      </c>
      <c r="B66">
        <v>37.694088000000001</v>
      </c>
      <c r="C66">
        <v>-4.5343920000000004</v>
      </c>
      <c r="D66">
        <v>981.02379784330014</v>
      </c>
    </row>
    <row r="67" spans="1:4" x14ac:dyDescent="0.3">
      <c r="A67" s="12">
        <v>1402502</v>
      </c>
      <c r="B67">
        <v>37.680768</v>
      </c>
      <c r="C67">
        <v>-4.5536289999999999</v>
      </c>
      <c r="D67">
        <v>701.9711531706007</v>
      </c>
    </row>
    <row r="68" spans="1:4" x14ac:dyDescent="0.3">
      <c r="A68" s="12">
        <v>1402503</v>
      </c>
      <c r="B68">
        <v>37.655385000000003</v>
      </c>
      <c r="C68">
        <v>-4.5690660000000003</v>
      </c>
      <c r="D68">
        <v>1043.4678600641732</v>
      </c>
    </row>
    <row r="69" spans="1:4" x14ac:dyDescent="0.3">
      <c r="A69" s="12">
        <v>1402601</v>
      </c>
      <c r="B69">
        <v>38.186470999999997</v>
      </c>
      <c r="C69">
        <v>-5.0192050000000004</v>
      </c>
      <c r="D69">
        <v>730.67604539795229</v>
      </c>
    </row>
    <row r="70" spans="1:4" x14ac:dyDescent="0.3">
      <c r="A70" s="12">
        <v>1402602</v>
      </c>
      <c r="B70">
        <v>38.132671999999999</v>
      </c>
      <c r="C70">
        <v>-5.0765219999999998</v>
      </c>
      <c r="D70">
        <v>646.30721892885936</v>
      </c>
    </row>
    <row r="71" spans="1:4" x14ac:dyDescent="0.3">
      <c r="A71" s="12">
        <v>1402603</v>
      </c>
      <c r="B71">
        <v>38.188361</v>
      </c>
      <c r="C71">
        <v>-5.0235500000000002</v>
      </c>
      <c r="D71">
        <v>830.05989131395438</v>
      </c>
    </row>
    <row r="72" spans="1:4" x14ac:dyDescent="0.3">
      <c r="A72" s="12">
        <v>1490101</v>
      </c>
      <c r="B72">
        <v>37.674411999999997</v>
      </c>
      <c r="C72">
        <v>-4.7077790000000004</v>
      </c>
      <c r="D72">
        <v>925.29615646282809</v>
      </c>
    </row>
    <row r="73" spans="1:4" x14ac:dyDescent="0.3">
      <c r="A73" s="12">
        <v>1402701</v>
      </c>
      <c r="B73">
        <v>37.669995999999998</v>
      </c>
      <c r="C73">
        <v>-4.7276369999999996</v>
      </c>
      <c r="D73">
        <v>4950.2615935517906</v>
      </c>
    </row>
    <row r="74" spans="1:4" x14ac:dyDescent="0.3">
      <c r="A74" s="12">
        <v>1402702</v>
      </c>
      <c r="B74">
        <v>37.696348999999998</v>
      </c>
      <c r="C74">
        <v>-4.7252409999999996</v>
      </c>
      <c r="D74">
        <v>3251.3288073075255</v>
      </c>
    </row>
    <row r="75" spans="1:4" x14ac:dyDescent="0.3">
      <c r="A75" s="12">
        <v>1402703</v>
      </c>
      <c r="B75">
        <v>37.675597000000003</v>
      </c>
      <c r="C75">
        <v>-5.1429720000000003</v>
      </c>
      <c r="D75">
        <v>1894.6994105363108</v>
      </c>
    </row>
    <row r="76" spans="1:4" x14ac:dyDescent="0.3">
      <c r="A76" s="12">
        <v>1402801</v>
      </c>
      <c r="B76">
        <v>38.419567999999998</v>
      </c>
      <c r="C76">
        <v>-5.0485129999999998</v>
      </c>
      <c r="D76">
        <v>310.47525908367135</v>
      </c>
    </row>
    <row r="77" spans="1:4" x14ac:dyDescent="0.3">
      <c r="A77" s="12">
        <v>1402901</v>
      </c>
      <c r="B77">
        <v>38.316727999999998</v>
      </c>
      <c r="C77">
        <v>-5.4369490000000003</v>
      </c>
      <c r="D77">
        <v>854.34939946095972</v>
      </c>
    </row>
    <row r="78" spans="1:4" x14ac:dyDescent="0.3">
      <c r="A78" s="12">
        <v>1402902</v>
      </c>
      <c r="B78">
        <v>38.252955</v>
      </c>
      <c r="C78">
        <v>-5.398123</v>
      </c>
      <c r="D78">
        <v>1109.0783281208417</v>
      </c>
    </row>
    <row r="79" spans="1:4" x14ac:dyDescent="0.3">
      <c r="A79" s="12">
        <v>1402903</v>
      </c>
      <c r="B79">
        <v>38.281224000000002</v>
      </c>
      <c r="C79">
        <v>-5.5014700000000003</v>
      </c>
      <c r="D79">
        <v>612.08728898392508</v>
      </c>
    </row>
    <row r="80" spans="1:4" x14ac:dyDescent="0.3">
      <c r="A80" s="12">
        <v>1402904</v>
      </c>
      <c r="B80">
        <v>38.217834000000003</v>
      </c>
      <c r="C80">
        <v>-5.3382839999999998</v>
      </c>
      <c r="D80">
        <v>796.53830401263906</v>
      </c>
    </row>
    <row r="81" spans="1:4" x14ac:dyDescent="0.3">
      <c r="A81" s="12">
        <v>1403001</v>
      </c>
      <c r="B81">
        <v>37.701796000000002</v>
      </c>
      <c r="C81">
        <v>-5.1066310000000001</v>
      </c>
      <c r="D81">
        <v>8093.8665949959941</v>
      </c>
    </row>
    <row r="82" spans="1:4" x14ac:dyDescent="0.3">
      <c r="A82" s="12">
        <v>1403002</v>
      </c>
      <c r="B82">
        <v>37.658890999999997</v>
      </c>
      <c r="C82">
        <v>-5.0864630000000002</v>
      </c>
      <c r="D82">
        <v>1467.0821993802504</v>
      </c>
    </row>
    <row r="83" spans="1:4" x14ac:dyDescent="0.3">
      <c r="A83" s="12">
        <v>1403101</v>
      </c>
      <c r="B83">
        <v>37.518715</v>
      </c>
      <c r="C83">
        <v>-4.129219</v>
      </c>
      <c r="D83">
        <v>565.22931461616133</v>
      </c>
    </row>
    <row r="84" spans="1:4" x14ac:dyDescent="0.3">
      <c r="A84" s="12">
        <v>1403201</v>
      </c>
      <c r="B84">
        <v>38.360458000000001</v>
      </c>
      <c r="C84">
        <v>-5.3374360000000003</v>
      </c>
      <c r="D84">
        <v>311.85778960206949</v>
      </c>
    </row>
    <row r="85" spans="1:4" x14ac:dyDescent="0.3">
      <c r="A85" s="12">
        <v>1403301</v>
      </c>
      <c r="B85">
        <v>37.751477999999999</v>
      </c>
      <c r="C85">
        <v>-4.9734290000000003</v>
      </c>
      <c r="D85">
        <v>1591.3468016863583</v>
      </c>
    </row>
    <row r="86" spans="1:4" x14ac:dyDescent="0.3">
      <c r="A86" s="12">
        <v>1490201</v>
      </c>
      <c r="B86">
        <v>37.626434000000003</v>
      </c>
      <c r="C86">
        <v>-4.8700780000000004</v>
      </c>
      <c r="D86">
        <v>1224.4607666744405</v>
      </c>
    </row>
    <row r="87" spans="1:4" x14ac:dyDescent="0.3">
      <c r="A87" s="12">
        <v>1403401</v>
      </c>
      <c r="B87">
        <v>38.524272000000003</v>
      </c>
      <c r="C87">
        <v>-4.7565200000000001</v>
      </c>
      <c r="D87">
        <v>310.75200825337737</v>
      </c>
    </row>
    <row r="88" spans="1:4" x14ac:dyDescent="0.3">
      <c r="A88" s="12">
        <v>1403501</v>
      </c>
      <c r="B88">
        <v>38.414926999999999</v>
      </c>
      <c r="C88">
        <v>-5.1774889999999996</v>
      </c>
      <c r="D88">
        <v>717.47780130510682</v>
      </c>
    </row>
    <row r="89" spans="1:4" x14ac:dyDescent="0.3">
      <c r="A89" s="12">
        <v>1403502</v>
      </c>
      <c r="B89">
        <v>38.497652000000002</v>
      </c>
      <c r="C89">
        <v>-5.1490020000000003</v>
      </c>
      <c r="D89">
        <v>412.79773721790161</v>
      </c>
    </row>
    <row r="90" spans="1:4" x14ac:dyDescent="0.3">
      <c r="A90" s="12">
        <v>1403503</v>
      </c>
      <c r="B90">
        <v>38.498446000000001</v>
      </c>
      <c r="C90">
        <v>-5.1445239999999997</v>
      </c>
      <c r="D90">
        <v>2702.5617650540025</v>
      </c>
    </row>
    <row r="91" spans="1:4" x14ac:dyDescent="0.3">
      <c r="A91" s="12">
        <v>1403504</v>
      </c>
      <c r="B91">
        <v>38.479989000000003</v>
      </c>
      <c r="C91">
        <v>-5.0701499999999999</v>
      </c>
      <c r="D91">
        <v>1369.213024306139</v>
      </c>
    </row>
    <row r="92" spans="1:4" x14ac:dyDescent="0.3">
      <c r="A92" s="12">
        <v>1403601</v>
      </c>
      <c r="B92">
        <v>37.825912000000002</v>
      </c>
      <c r="C92">
        <v>-5.242197</v>
      </c>
      <c r="D92">
        <v>1750.4823056683229</v>
      </c>
    </row>
    <row r="93" spans="1:4" x14ac:dyDescent="0.3">
      <c r="A93" s="12">
        <v>1403602</v>
      </c>
      <c r="B93">
        <v>37.828530000000001</v>
      </c>
      <c r="C93">
        <v>-5.2489499999999998</v>
      </c>
      <c r="D93">
        <v>2424.7715037312564</v>
      </c>
    </row>
    <row r="94" spans="1:4" x14ac:dyDescent="0.3">
      <c r="A94" s="12">
        <v>1403701</v>
      </c>
      <c r="B94">
        <v>37.256777999999997</v>
      </c>
      <c r="C94">
        <v>-4.3115230000000002</v>
      </c>
      <c r="D94">
        <v>1603.8209304993145</v>
      </c>
    </row>
    <row r="95" spans="1:4" x14ac:dyDescent="0.3">
      <c r="A95" s="12">
        <v>1403702</v>
      </c>
      <c r="B95">
        <v>37.230587999999997</v>
      </c>
      <c r="C95">
        <v>-4.3236749999999997</v>
      </c>
      <c r="D95">
        <v>569.79186301730545</v>
      </c>
    </row>
    <row r="96" spans="1:4" x14ac:dyDescent="0.3">
      <c r="A96" s="12">
        <v>1403703</v>
      </c>
      <c r="B96">
        <v>37.289577999999999</v>
      </c>
      <c r="C96">
        <v>-4.2964419999999999</v>
      </c>
      <c r="D96">
        <v>689.09732675185774</v>
      </c>
    </row>
    <row r="97" spans="1:4" x14ac:dyDescent="0.3">
      <c r="A97" s="12">
        <v>1403801</v>
      </c>
      <c r="B97">
        <v>37.408029999999997</v>
      </c>
      <c r="C97">
        <v>-4.4849249999999996</v>
      </c>
      <c r="D97">
        <v>8864.8299273597204</v>
      </c>
    </row>
    <row r="98" spans="1:4" x14ac:dyDescent="0.3">
      <c r="A98" s="12">
        <v>1403802</v>
      </c>
      <c r="B98">
        <v>37.409607999999999</v>
      </c>
      <c r="C98">
        <v>-4.4884310000000003</v>
      </c>
      <c r="D98">
        <v>14980.885297643319</v>
      </c>
    </row>
    <row r="99" spans="1:4" x14ac:dyDescent="0.3">
      <c r="A99" s="12">
        <v>1403803</v>
      </c>
      <c r="B99">
        <v>37.414008000000003</v>
      </c>
      <c r="C99">
        <v>-4.4765699999999997</v>
      </c>
      <c r="D99">
        <v>13934.550471287452</v>
      </c>
    </row>
    <row r="100" spans="1:4" x14ac:dyDescent="0.3">
      <c r="A100" s="12">
        <v>1403804</v>
      </c>
      <c r="B100">
        <v>37.345416</v>
      </c>
      <c r="C100">
        <v>-4.5288959999999996</v>
      </c>
      <c r="D100">
        <v>2193.4519613443795</v>
      </c>
    </row>
    <row r="101" spans="1:4" x14ac:dyDescent="0.3">
      <c r="A101" s="12">
        <v>1403805</v>
      </c>
      <c r="B101">
        <v>37.401155000000003</v>
      </c>
      <c r="C101">
        <v>-4.5831730000000004</v>
      </c>
      <c r="D101">
        <v>1409.9514668326397</v>
      </c>
    </row>
    <row r="102" spans="1:4" x14ac:dyDescent="0.3">
      <c r="A102" s="12">
        <v>1403901</v>
      </c>
      <c r="B102">
        <v>37.556449999999998</v>
      </c>
      <c r="C102">
        <v>-4.2383449999999998</v>
      </c>
      <c r="D102">
        <v>2433.7783825446641</v>
      </c>
    </row>
    <row r="103" spans="1:4" x14ac:dyDescent="0.3">
      <c r="A103" s="12">
        <v>1404001</v>
      </c>
      <c r="B103">
        <v>37.580272999999998</v>
      </c>
      <c r="C103">
        <v>-4.76328</v>
      </c>
      <c r="D103">
        <v>1749.6710261995909</v>
      </c>
    </row>
    <row r="104" spans="1:4" x14ac:dyDescent="0.3">
      <c r="A104" s="12">
        <v>1404002</v>
      </c>
      <c r="B104">
        <v>37.581929000000002</v>
      </c>
      <c r="C104">
        <v>-4.7480390000000003</v>
      </c>
      <c r="D104">
        <v>2297.9453205068544</v>
      </c>
    </row>
    <row r="105" spans="1:4" x14ac:dyDescent="0.3">
      <c r="A105" s="12">
        <v>1404101</v>
      </c>
      <c r="B105">
        <v>37.651269999999997</v>
      </c>
      <c r="C105">
        <v>-4.7106310000000002</v>
      </c>
      <c r="D105">
        <v>1778.9045438858027</v>
      </c>
    </row>
    <row r="106" spans="1:4" x14ac:dyDescent="0.3">
      <c r="A106" s="12">
        <v>1404102</v>
      </c>
      <c r="B106">
        <v>37.639403999999999</v>
      </c>
      <c r="C106">
        <v>-4.6512270000000004</v>
      </c>
      <c r="D106">
        <v>1859.3499785869408</v>
      </c>
    </row>
    <row r="107" spans="1:4" x14ac:dyDescent="0.3">
      <c r="A107" s="12">
        <v>1404201</v>
      </c>
      <c r="B107">
        <v>37.585155999999998</v>
      </c>
      <c r="C107">
        <v>-4.6395679999999997</v>
      </c>
      <c r="D107">
        <v>2520.6059142154431</v>
      </c>
    </row>
    <row r="108" spans="1:4" x14ac:dyDescent="0.3">
      <c r="A108" s="12">
        <v>1404202</v>
      </c>
      <c r="B108">
        <v>37.588228999999998</v>
      </c>
      <c r="C108">
        <v>-4.6377350000000002</v>
      </c>
      <c r="D108">
        <v>4463.8076699440808</v>
      </c>
    </row>
    <row r="109" spans="1:4" x14ac:dyDescent="0.3">
      <c r="A109" s="12">
        <v>1404203</v>
      </c>
      <c r="B109">
        <v>37.583094000000003</v>
      </c>
      <c r="C109">
        <v>-4.6409599999999998</v>
      </c>
      <c r="D109">
        <v>7664.8007000299413</v>
      </c>
    </row>
    <row r="110" spans="1:4" x14ac:dyDescent="0.3">
      <c r="A110" s="12">
        <v>1404204</v>
      </c>
      <c r="B110">
        <v>37.590007999999997</v>
      </c>
      <c r="C110">
        <v>-4.6399590000000002</v>
      </c>
      <c r="D110">
        <v>5919.3721816664247</v>
      </c>
    </row>
    <row r="111" spans="1:4" x14ac:dyDescent="0.3">
      <c r="A111" s="12">
        <v>1404205</v>
      </c>
      <c r="B111">
        <v>37.558883999999999</v>
      </c>
      <c r="C111">
        <v>-4.5682539999999996</v>
      </c>
      <c r="D111">
        <v>1289.1442690751378</v>
      </c>
    </row>
    <row r="112" spans="1:4" x14ac:dyDescent="0.3">
      <c r="A112" s="12">
        <v>1404301</v>
      </c>
      <c r="B112">
        <v>38.027025999999999</v>
      </c>
      <c r="C112">
        <v>-4.3837890000000002</v>
      </c>
      <c r="D112">
        <v>1519.4953081605745</v>
      </c>
    </row>
    <row r="113" spans="1:4" x14ac:dyDescent="0.3">
      <c r="A113" s="12">
        <v>1404302</v>
      </c>
      <c r="B113">
        <v>38.109313</v>
      </c>
      <c r="C113">
        <v>-4.286753</v>
      </c>
      <c r="D113">
        <v>983.32480381113169</v>
      </c>
    </row>
    <row r="114" spans="1:4" x14ac:dyDescent="0.3">
      <c r="A114" s="12">
        <v>1404303</v>
      </c>
      <c r="B114">
        <v>38.024939000000003</v>
      </c>
      <c r="C114">
        <v>-4.384887</v>
      </c>
      <c r="D114">
        <v>1368.3569005852398</v>
      </c>
    </row>
    <row r="115" spans="1:4" x14ac:dyDescent="0.3">
      <c r="A115" s="12">
        <v>1404304</v>
      </c>
      <c r="B115">
        <v>38.134031999999998</v>
      </c>
      <c r="C115">
        <v>-4.4509869999999996</v>
      </c>
      <c r="D115">
        <v>4645.3745868431897</v>
      </c>
    </row>
    <row r="116" spans="1:4" x14ac:dyDescent="0.3">
      <c r="A116" s="12">
        <v>1404401</v>
      </c>
      <c r="B116">
        <v>37.475740999999999</v>
      </c>
      <c r="C116">
        <v>-4.5813769999999998</v>
      </c>
      <c r="D116">
        <v>1857.2933831341527</v>
      </c>
    </row>
    <row r="117" spans="1:4" x14ac:dyDescent="0.3">
      <c r="A117" s="12">
        <v>1404501</v>
      </c>
      <c r="B117">
        <v>37.443072999999998</v>
      </c>
      <c r="C117">
        <v>-4.6151879999999998</v>
      </c>
      <c r="D117">
        <v>3208.2461036549662</v>
      </c>
    </row>
    <row r="118" spans="1:4" x14ac:dyDescent="0.3">
      <c r="A118" s="12">
        <v>1404601</v>
      </c>
      <c r="B118">
        <v>37.599665000000002</v>
      </c>
      <c r="C118">
        <v>-4.4475020000000001</v>
      </c>
      <c r="D118">
        <v>2601.4239275205755</v>
      </c>
    </row>
    <row r="119" spans="1:4" x14ac:dyDescent="0.3">
      <c r="A119" s="12">
        <v>1404602</v>
      </c>
      <c r="B119">
        <v>37.583123999999998</v>
      </c>
      <c r="C119">
        <v>-4.4684699999999999</v>
      </c>
      <c r="D119">
        <v>1843.3627524995459</v>
      </c>
    </row>
    <row r="120" spans="1:4" x14ac:dyDescent="0.3">
      <c r="A120" s="12">
        <v>1404701</v>
      </c>
      <c r="B120">
        <v>38.074013999999998</v>
      </c>
      <c r="C120">
        <v>-4.7605180000000002</v>
      </c>
      <c r="D120">
        <v>2240.2975354782407</v>
      </c>
    </row>
    <row r="121" spans="1:4" x14ac:dyDescent="0.3">
      <c r="A121" s="12">
        <v>1404801</v>
      </c>
      <c r="B121">
        <v>37.250250999999999</v>
      </c>
      <c r="C121">
        <v>-4.595421</v>
      </c>
      <c r="D121">
        <v>1241.5914538165125</v>
      </c>
    </row>
    <row r="122" spans="1:4" x14ac:dyDescent="0.3">
      <c r="A122" s="12">
        <v>1404901</v>
      </c>
      <c r="B122">
        <v>37.695390000000003</v>
      </c>
      <c r="C122">
        <v>-5.2755190000000001</v>
      </c>
      <c r="D122">
        <v>6785.8424785140114</v>
      </c>
    </row>
    <row r="123" spans="1:4" x14ac:dyDescent="0.3">
      <c r="A123" s="12">
        <v>1404902</v>
      </c>
      <c r="B123">
        <v>37.696809999999999</v>
      </c>
      <c r="C123">
        <v>-5.2809179999999998</v>
      </c>
      <c r="D123">
        <v>3127.1307376000423</v>
      </c>
    </row>
    <row r="124" spans="1:4" x14ac:dyDescent="0.3">
      <c r="A124" s="12">
        <v>1404903</v>
      </c>
      <c r="B124">
        <v>37.699328000000001</v>
      </c>
      <c r="C124">
        <v>-5.2812159999999997</v>
      </c>
      <c r="D124">
        <v>8699.386796115512</v>
      </c>
    </row>
    <row r="125" spans="1:4" x14ac:dyDescent="0.3">
      <c r="A125" s="12">
        <v>1405001</v>
      </c>
      <c r="B125">
        <v>37.977941000000001</v>
      </c>
      <c r="C125">
        <v>-4.4738579999999999</v>
      </c>
      <c r="D125">
        <v>1667.436306068993</v>
      </c>
    </row>
    <row r="126" spans="1:4" x14ac:dyDescent="0.3">
      <c r="A126" s="12">
        <v>1405002</v>
      </c>
      <c r="B126">
        <v>37.962043000000001</v>
      </c>
      <c r="C126">
        <v>-4.439546</v>
      </c>
      <c r="D126">
        <v>1152.4286170389098</v>
      </c>
    </row>
    <row r="127" spans="1:4" x14ac:dyDescent="0.3">
      <c r="A127" s="12">
        <v>1405101</v>
      </c>
      <c r="B127">
        <v>38.418472000000001</v>
      </c>
      <c r="C127">
        <v>-4.7241419999999996</v>
      </c>
      <c r="D127">
        <v>727.15069486829861</v>
      </c>
    </row>
    <row r="128" spans="1:4" x14ac:dyDescent="0.3">
      <c r="A128" s="12">
        <v>1405102</v>
      </c>
      <c r="B128">
        <v>38.429879999999997</v>
      </c>
      <c r="C128">
        <v>-4.7863160000000002</v>
      </c>
      <c r="D128">
        <v>558.66580584375083</v>
      </c>
    </row>
    <row r="129" spans="1:4" x14ac:dyDescent="0.3">
      <c r="A129" s="12">
        <v>1405201</v>
      </c>
      <c r="B129">
        <v>38.277901</v>
      </c>
      <c r="C129">
        <v>-5.2712690000000002</v>
      </c>
      <c r="D129">
        <v>4731.3446191536768</v>
      </c>
    </row>
    <row r="130" spans="1:4" x14ac:dyDescent="0.3">
      <c r="A130" s="12">
        <v>1405202</v>
      </c>
      <c r="B130">
        <v>38.297573</v>
      </c>
      <c r="C130">
        <v>-5.2612269999999999</v>
      </c>
      <c r="D130">
        <v>2617.9160628915715</v>
      </c>
    </row>
    <row r="131" spans="1:4" x14ac:dyDescent="0.3">
      <c r="A131" s="12">
        <v>1405203</v>
      </c>
      <c r="B131">
        <v>38.301707999999998</v>
      </c>
      <c r="C131">
        <v>-5.282883</v>
      </c>
      <c r="D131">
        <v>2090.8564792696106</v>
      </c>
    </row>
    <row r="132" spans="1:4" x14ac:dyDescent="0.3">
      <c r="A132" s="12">
        <v>1405204</v>
      </c>
      <c r="B132">
        <v>38.313122999999997</v>
      </c>
      <c r="C132">
        <v>-5.2804799999999998</v>
      </c>
      <c r="D132">
        <v>225.00988562399752</v>
      </c>
    </row>
    <row r="133" spans="1:4" x14ac:dyDescent="0.3">
      <c r="A133" s="12">
        <v>1405301</v>
      </c>
      <c r="B133">
        <v>37.803840000000001</v>
      </c>
      <c r="C133">
        <v>-5.1030939999999996</v>
      </c>
      <c r="D133">
        <v>3524.7899375479128</v>
      </c>
    </row>
    <row r="134" spans="1:4" x14ac:dyDescent="0.3">
      <c r="A134" s="12">
        <v>1405302</v>
      </c>
      <c r="B134">
        <v>37.838028999999999</v>
      </c>
      <c r="C134">
        <v>-5.117928</v>
      </c>
      <c r="D134">
        <v>3377.7743735147856</v>
      </c>
    </row>
    <row r="135" spans="1:4" x14ac:dyDescent="0.3">
      <c r="A135" s="12">
        <v>1405401</v>
      </c>
      <c r="B135">
        <v>38.382102000000003</v>
      </c>
      <c r="C135">
        <v>-4.845351</v>
      </c>
      <c r="D135">
        <v>6228.7839998949512</v>
      </c>
    </row>
    <row r="136" spans="1:4" x14ac:dyDescent="0.3">
      <c r="A136" s="12">
        <v>1405402</v>
      </c>
      <c r="B136">
        <v>38.373924000000002</v>
      </c>
      <c r="C136">
        <v>-4.8504269999999998</v>
      </c>
      <c r="D136">
        <v>6924.6379272465001</v>
      </c>
    </row>
    <row r="137" spans="1:4" x14ac:dyDescent="0.3">
      <c r="A137" s="12">
        <v>1405403</v>
      </c>
      <c r="B137">
        <v>38.382553999999999</v>
      </c>
      <c r="C137">
        <v>-4.8569019999999998</v>
      </c>
      <c r="D137">
        <v>2082.687782465865</v>
      </c>
    </row>
    <row r="138" spans="1:4" x14ac:dyDescent="0.3">
      <c r="A138" s="12">
        <v>1405404</v>
      </c>
      <c r="B138">
        <v>38.262067999999999</v>
      </c>
      <c r="C138">
        <v>-4.798394</v>
      </c>
      <c r="D138">
        <v>3273.4078740652913</v>
      </c>
    </row>
    <row r="139" spans="1:4" x14ac:dyDescent="0.3">
      <c r="A139" s="12">
        <v>1405501</v>
      </c>
      <c r="B139">
        <v>37.435932999999999</v>
      </c>
      <c r="C139">
        <v>-4.1908329999999996</v>
      </c>
      <c r="D139">
        <v>3821.8504190646972</v>
      </c>
    </row>
    <row r="140" spans="1:4" x14ac:dyDescent="0.3">
      <c r="A140" s="12">
        <v>1405502</v>
      </c>
      <c r="B140">
        <v>37.432209999999998</v>
      </c>
      <c r="C140">
        <v>-4.2026579999999996</v>
      </c>
      <c r="D140">
        <v>12778.226633088201</v>
      </c>
    </row>
    <row r="141" spans="1:4" x14ac:dyDescent="0.3">
      <c r="A141" s="12">
        <v>1405503</v>
      </c>
      <c r="B141">
        <v>37.385739999999998</v>
      </c>
      <c r="C141">
        <v>-4.2516939999999996</v>
      </c>
      <c r="D141">
        <v>1325.422873875239</v>
      </c>
    </row>
    <row r="142" spans="1:4" x14ac:dyDescent="0.3">
      <c r="A142" s="12">
        <v>1405504</v>
      </c>
      <c r="B142">
        <v>37.498668000000002</v>
      </c>
      <c r="C142">
        <v>-4.1828409999999998</v>
      </c>
      <c r="D142">
        <v>1449.432352686244</v>
      </c>
    </row>
    <row r="143" spans="1:4" x14ac:dyDescent="0.3">
      <c r="A143" s="12">
        <v>1405601</v>
      </c>
      <c r="B143">
        <v>37.368440999999997</v>
      </c>
      <c r="C143">
        <v>-4.7942330000000002</v>
      </c>
      <c r="D143">
        <v>3002.5661323757558</v>
      </c>
    </row>
    <row r="144" spans="1:4" x14ac:dyDescent="0.3">
      <c r="A144" s="12">
        <v>1405602</v>
      </c>
      <c r="B144">
        <v>37.383068000000002</v>
      </c>
      <c r="C144">
        <v>-4.7736299999999998</v>
      </c>
      <c r="D144">
        <v>3691.9569253438958</v>
      </c>
    </row>
    <row r="145" spans="1:4" x14ac:dyDescent="0.3">
      <c r="A145" s="12">
        <v>1405603</v>
      </c>
      <c r="B145">
        <v>37.388568999999997</v>
      </c>
      <c r="C145">
        <v>-4.7739190000000002</v>
      </c>
      <c r="D145">
        <v>6602.1005999602194</v>
      </c>
    </row>
    <row r="146" spans="1:4" x14ac:dyDescent="0.3">
      <c r="A146" s="12">
        <v>1405604</v>
      </c>
      <c r="B146">
        <v>37.389974000000002</v>
      </c>
      <c r="C146">
        <v>-4.7672369999999997</v>
      </c>
      <c r="D146">
        <v>8607.5087408413838</v>
      </c>
    </row>
    <row r="147" spans="1:4" x14ac:dyDescent="0.3">
      <c r="A147" s="12">
        <v>1405605</v>
      </c>
      <c r="B147">
        <v>37.432031000000002</v>
      </c>
      <c r="C147">
        <v>-4.7694049999999999</v>
      </c>
      <c r="D147">
        <v>6256.571151059401</v>
      </c>
    </row>
    <row r="148" spans="1:4" x14ac:dyDescent="0.3">
      <c r="A148" s="12">
        <v>1405701</v>
      </c>
      <c r="B148">
        <v>37.664529999999999</v>
      </c>
      <c r="C148">
        <v>-4.8171290000000004</v>
      </c>
      <c r="D148">
        <v>7298.7575583071712</v>
      </c>
    </row>
    <row r="149" spans="1:4" x14ac:dyDescent="0.3">
      <c r="A149" s="12">
        <v>1405801</v>
      </c>
      <c r="B149">
        <v>37.326529999999998</v>
      </c>
      <c r="C149">
        <v>-4.3699700000000004</v>
      </c>
      <c r="D149">
        <v>2182.7314154096243</v>
      </c>
    </row>
    <row r="150" spans="1:4" x14ac:dyDescent="0.3">
      <c r="A150" s="12">
        <v>1405802</v>
      </c>
      <c r="B150">
        <v>37.324057000000003</v>
      </c>
      <c r="C150">
        <v>-4.3702519999999998</v>
      </c>
      <c r="D150">
        <v>731.51952205908026</v>
      </c>
    </row>
    <row r="151" spans="1:4" x14ac:dyDescent="0.3">
      <c r="A151" s="12">
        <v>1405803</v>
      </c>
      <c r="B151">
        <v>37.327388999999997</v>
      </c>
      <c r="C151">
        <v>-4.373367</v>
      </c>
      <c r="D151">
        <v>2635.4266021536619</v>
      </c>
    </row>
    <row r="152" spans="1:4" x14ac:dyDescent="0.3">
      <c r="A152" s="12">
        <v>1405804</v>
      </c>
      <c r="B152">
        <v>37.328032</v>
      </c>
      <c r="C152">
        <v>-4.3659309999999998</v>
      </c>
      <c r="D152">
        <v>1374.6403016240267</v>
      </c>
    </row>
    <row r="153" spans="1:4" x14ac:dyDescent="0.3">
      <c r="A153" s="12">
        <v>1405805</v>
      </c>
      <c r="B153">
        <v>37.348371999999998</v>
      </c>
      <c r="C153">
        <v>-4.368487</v>
      </c>
      <c r="D153">
        <v>2124.8545598027704</v>
      </c>
    </row>
    <row r="154" spans="1:4" x14ac:dyDescent="0.3">
      <c r="A154" s="12">
        <v>1405901</v>
      </c>
      <c r="B154">
        <v>37.667093000000001</v>
      </c>
      <c r="C154">
        <v>-4.832147</v>
      </c>
      <c r="D154">
        <v>853.70648703849827</v>
      </c>
    </row>
    <row r="155" spans="1:4" x14ac:dyDescent="0.3">
      <c r="A155" s="12">
        <v>1406101</v>
      </c>
      <c r="B155">
        <v>38.605998</v>
      </c>
      <c r="C155">
        <v>-4.8975369999999998</v>
      </c>
      <c r="D155">
        <v>503.10985118308571</v>
      </c>
    </row>
    <row r="156" spans="1:4" x14ac:dyDescent="0.3">
      <c r="A156" s="12">
        <v>1406001</v>
      </c>
      <c r="B156">
        <v>37.533259999999999</v>
      </c>
      <c r="C156">
        <v>-4.8522629999999998</v>
      </c>
      <c r="D156">
        <v>1452.8148230303011</v>
      </c>
    </row>
    <row r="157" spans="1:4" x14ac:dyDescent="0.3">
      <c r="A157" s="12">
        <v>1406002</v>
      </c>
      <c r="B157">
        <v>37.561742000000002</v>
      </c>
      <c r="C157">
        <v>-4.841596</v>
      </c>
      <c r="D157">
        <v>2918.8451012042219</v>
      </c>
    </row>
    <row r="158" spans="1:4" x14ac:dyDescent="0.3">
      <c r="A158" s="12">
        <v>1406201</v>
      </c>
      <c r="B158">
        <v>38.479978000000003</v>
      </c>
      <c r="C158">
        <v>-4.6627280000000004</v>
      </c>
      <c r="D158">
        <v>831.53193981310733</v>
      </c>
    </row>
    <row r="159" spans="1:4" x14ac:dyDescent="0.3">
      <c r="A159" s="12">
        <v>1406202</v>
      </c>
      <c r="B159">
        <v>38.462479000000002</v>
      </c>
      <c r="C159">
        <v>-4.6348029999999998</v>
      </c>
      <c r="D159">
        <v>69.294328317758954</v>
      </c>
    </row>
    <row r="160" spans="1:4" x14ac:dyDescent="0.3">
      <c r="A160" s="12">
        <v>1406301</v>
      </c>
      <c r="B160">
        <v>37.769758000000003</v>
      </c>
      <c r="C160">
        <v>-4.2411430000000001</v>
      </c>
      <c r="D160">
        <v>792.55219368028042</v>
      </c>
    </row>
    <row r="161" spans="1:4" x14ac:dyDescent="0.3">
      <c r="A161" s="12">
        <v>1406401</v>
      </c>
      <c r="B161">
        <v>38.458993999999997</v>
      </c>
      <c r="C161">
        <v>-5.3751300000000004</v>
      </c>
      <c r="D161">
        <v>267.52422836788134</v>
      </c>
    </row>
    <row r="162" spans="1:4" x14ac:dyDescent="0.3">
      <c r="A162" s="12">
        <v>1406501</v>
      </c>
      <c r="B162">
        <v>37.696444</v>
      </c>
      <c r="C162">
        <v>-4.8546329999999998</v>
      </c>
      <c r="D162">
        <v>2384.3884925042344</v>
      </c>
    </row>
    <row r="163" spans="1:4" x14ac:dyDescent="0.3">
      <c r="A163" s="12">
        <v>1406601</v>
      </c>
      <c r="B163">
        <v>37.997787000000002</v>
      </c>
      <c r="C163">
        <v>-4.3099220000000003</v>
      </c>
      <c r="D163">
        <v>3374.8505123403365</v>
      </c>
    </row>
    <row r="164" spans="1:4" x14ac:dyDescent="0.3">
      <c r="A164" s="12">
        <v>1406602</v>
      </c>
      <c r="B164">
        <v>37.973863999999999</v>
      </c>
      <c r="C164">
        <v>-4.2770450000000002</v>
      </c>
      <c r="D164">
        <v>2768.835104179595</v>
      </c>
    </row>
    <row r="165" spans="1:4" x14ac:dyDescent="0.3">
      <c r="A165" s="12">
        <v>1406701</v>
      </c>
      <c r="B165">
        <v>37.961198000000003</v>
      </c>
      <c r="C165">
        <v>-4.5446720000000003</v>
      </c>
      <c r="D165">
        <v>3075.2548795087341</v>
      </c>
    </row>
    <row r="166" spans="1:4" x14ac:dyDescent="0.3">
      <c r="A166" s="12">
        <v>1406702</v>
      </c>
      <c r="B166">
        <v>37.942732999999997</v>
      </c>
      <c r="C166">
        <v>-4.5581610000000001</v>
      </c>
      <c r="D166">
        <v>2141.1592473138699</v>
      </c>
    </row>
    <row r="167" spans="1:4" x14ac:dyDescent="0.3">
      <c r="A167" s="12">
        <v>1406801</v>
      </c>
      <c r="B167">
        <v>38.138604999999998</v>
      </c>
      <c r="C167">
        <v>-4.8998350000000004</v>
      </c>
      <c r="D167">
        <v>542.77603663171624</v>
      </c>
    </row>
    <row r="168" spans="1:4" x14ac:dyDescent="0.3">
      <c r="A168" s="12">
        <v>1406901</v>
      </c>
      <c r="B168">
        <v>38.324553000000002</v>
      </c>
      <c r="C168">
        <v>-4.6277699999999999</v>
      </c>
      <c r="D168">
        <v>2272.3727385513566</v>
      </c>
    </row>
    <row r="169" spans="1:4" x14ac:dyDescent="0.3">
      <c r="A169" s="12">
        <v>1406902</v>
      </c>
      <c r="B169">
        <v>38.247334000000002</v>
      </c>
      <c r="C169">
        <v>-4.6941050000000004</v>
      </c>
      <c r="D169">
        <v>2588.0209070348014</v>
      </c>
    </row>
    <row r="170" spans="1:4" x14ac:dyDescent="0.3">
      <c r="A170" s="12">
        <v>1406903</v>
      </c>
      <c r="B170">
        <v>38.198546</v>
      </c>
      <c r="C170">
        <v>-4.6511449999999996</v>
      </c>
      <c r="D170">
        <v>1413.2756007623157</v>
      </c>
    </row>
    <row r="171" spans="1:4" x14ac:dyDescent="0.3">
      <c r="A171" s="12">
        <v>1406904</v>
      </c>
      <c r="B171">
        <v>38.316242000000003</v>
      </c>
      <c r="C171">
        <v>-4.5565879999999996</v>
      </c>
      <c r="D171">
        <v>1027.398910921411</v>
      </c>
    </row>
    <row r="172" spans="1:4" x14ac:dyDescent="0.3">
      <c r="A172" s="12">
        <v>1407001</v>
      </c>
      <c r="B172">
        <v>38.338723999999999</v>
      </c>
      <c r="C172">
        <v>-5.0421420000000001</v>
      </c>
      <c r="D172">
        <v>579.91148528609926</v>
      </c>
    </row>
    <row r="173" spans="1:4" x14ac:dyDescent="0.3">
      <c r="A173" s="12">
        <v>1407002</v>
      </c>
      <c r="B173">
        <v>38.399622000000001</v>
      </c>
      <c r="C173">
        <v>-5.0216310000000002</v>
      </c>
      <c r="D173">
        <v>555.44787383082098</v>
      </c>
    </row>
    <row r="174" spans="1:4" x14ac:dyDescent="0.3">
      <c r="A174" s="12">
        <v>1407101</v>
      </c>
      <c r="B174">
        <v>38.143661999999999</v>
      </c>
      <c r="C174">
        <v>-5.1893000000000002</v>
      </c>
      <c r="D174">
        <v>883.60941609771373</v>
      </c>
    </row>
    <row r="175" spans="1:4" x14ac:dyDescent="0.3">
      <c r="A175" s="12">
        <v>1407201</v>
      </c>
      <c r="B175">
        <v>38.455047999999998</v>
      </c>
      <c r="C175">
        <v>-4.975098</v>
      </c>
      <c r="D175">
        <v>908.91232640198587</v>
      </c>
    </row>
    <row r="176" spans="1:4" x14ac:dyDescent="0.3">
      <c r="A176" s="12">
        <v>1407301</v>
      </c>
      <c r="B176">
        <v>38.084885999999997</v>
      </c>
      <c r="C176">
        <v>-4.9793960000000004</v>
      </c>
      <c r="D176">
        <v>1223.1640600724816</v>
      </c>
    </row>
    <row r="177" spans="1:4" x14ac:dyDescent="0.3">
      <c r="A177" s="12">
        <v>1407302</v>
      </c>
      <c r="B177">
        <v>38.011490999999999</v>
      </c>
      <c r="C177">
        <v>-5.0083029999999997</v>
      </c>
      <c r="D177">
        <v>1265.6080953695196</v>
      </c>
    </row>
    <row r="178" spans="1:4" x14ac:dyDescent="0.3">
      <c r="A178" s="12">
        <v>1407401</v>
      </c>
      <c r="B178">
        <v>38.519996999999996</v>
      </c>
      <c r="C178">
        <v>-4.8996709999999997</v>
      </c>
      <c r="D178">
        <v>1231.1642963583029</v>
      </c>
    </row>
    <row r="179" spans="1:4" x14ac:dyDescent="0.3">
      <c r="A179" s="12">
        <v>1407402</v>
      </c>
      <c r="B179">
        <v>38.480096000000003</v>
      </c>
      <c r="C179">
        <v>-4.9571579999999997</v>
      </c>
      <c r="D179">
        <v>1015.0603686054113</v>
      </c>
    </row>
    <row r="180" spans="1:4" x14ac:dyDescent="0.3">
      <c r="A180" s="12">
        <v>1407501</v>
      </c>
      <c r="B180">
        <v>37.526778999999998</v>
      </c>
      <c r="C180">
        <v>-4.3325529999999999</v>
      </c>
      <c r="D180">
        <v>552.49567292662391</v>
      </c>
    </row>
    <row r="181" spans="1:4" x14ac:dyDescent="0.3">
      <c r="A181" s="12">
        <v>2100101</v>
      </c>
      <c r="B181">
        <v>37.849561000000001</v>
      </c>
      <c r="C181">
        <v>-6.6557810000000002</v>
      </c>
      <c r="D181">
        <v>691.83797304448956</v>
      </c>
    </row>
    <row r="182" spans="1:4" x14ac:dyDescent="0.3">
      <c r="A182" s="12">
        <v>2100201</v>
      </c>
      <c r="B182">
        <v>37.271653000000001</v>
      </c>
      <c r="C182">
        <v>-7.0237759999999998</v>
      </c>
      <c r="D182">
        <v>13611.039457952407</v>
      </c>
    </row>
    <row r="183" spans="1:4" x14ac:dyDescent="0.3">
      <c r="A183" s="12">
        <v>2100202</v>
      </c>
      <c r="B183">
        <v>37.288111999999998</v>
      </c>
      <c r="C183">
        <v>-6.9837740000000004</v>
      </c>
      <c r="D183">
        <v>17467.361022743327</v>
      </c>
    </row>
    <row r="184" spans="1:4" x14ac:dyDescent="0.3">
      <c r="A184" s="12">
        <v>2100301</v>
      </c>
      <c r="B184">
        <v>37.551082000000001</v>
      </c>
      <c r="C184">
        <v>-7.3412160000000002</v>
      </c>
      <c r="D184">
        <v>838.23021683855097</v>
      </c>
    </row>
    <row r="185" spans="1:4" x14ac:dyDescent="0.3">
      <c r="A185" s="12">
        <v>2100401</v>
      </c>
      <c r="B185">
        <v>37.868195999999998</v>
      </c>
      <c r="C185">
        <v>-6.8295890000000004</v>
      </c>
      <c r="D185">
        <v>1069.8288174662389</v>
      </c>
    </row>
    <row r="186" spans="1:4" x14ac:dyDescent="0.3">
      <c r="A186" s="12">
        <v>2100402</v>
      </c>
      <c r="B186">
        <v>37.783312000000002</v>
      </c>
      <c r="C186">
        <v>-6.7713330000000003</v>
      </c>
      <c r="D186">
        <v>750.70132110955331</v>
      </c>
    </row>
    <row r="187" spans="1:4" x14ac:dyDescent="0.3">
      <c r="A187" s="12">
        <v>2100501</v>
      </c>
      <c r="B187">
        <v>37.242440999999999</v>
      </c>
      <c r="C187">
        <v>-6.4986430000000004</v>
      </c>
      <c r="D187">
        <v>8331.5817408246512</v>
      </c>
    </row>
    <row r="188" spans="1:4" x14ac:dyDescent="0.3">
      <c r="A188" s="12">
        <v>2100502</v>
      </c>
      <c r="B188">
        <v>37.248896999999999</v>
      </c>
      <c r="C188">
        <v>-6.5743729999999996</v>
      </c>
      <c r="D188">
        <v>3688.50909679693</v>
      </c>
    </row>
    <row r="189" spans="1:4" x14ac:dyDescent="0.3">
      <c r="A189" s="12">
        <v>2100503</v>
      </c>
      <c r="B189">
        <v>37.265546999999998</v>
      </c>
      <c r="C189">
        <v>-6.4663190000000004</v>
      </c>
      <c r="D189">
        <v>11889.37843992745</v>
      </c>
    </row>
    <row r="190" spans="1:4" x14ac:dyDescent="0.3">
      <c r="A190" s="12">
        <v>2100601</v>
      </c>
      <c r="B190">
        <v>37.546753000000002</v>
      </c>
      <c r="C190">
        <v>-7.1144420000000004</v>
      </c>
      <c r="D190">
        <v>2019.2610342365119</v>
      </c>
    </row>
    <row r="191" spans="1:4" x14ac:dyDescent="0.3">
      <c r="A191" s="12">
        <v>2100602</v>
      </c>
      <c r="B191">
        <v>37.597738999999997</v>
      </c>
      <c r="C191">
        <v>-7.1172599999999999</v>
      </c>
      <c r="D191">
        <v>1687.2556122659203</v>
      </c>
    </row>
    <row r="192" spans="1:4" x14ac:dyDescent="0.3">
      <c r="A192" s="12">
        <v>2100701</v>
      </c>
      <c r="B192">
        <v>37.888693000000004</v>
      </c>
      <c r="C192">
        <v>-6.5599600000000002</v>
      </c>
      <c r="D192">
        <v>1861.9021506722686</v>
      </c>
    </row>
    <row r="193" spans="1:4" x14ac:dyDescent="0.3">
      <c r="A193" s="12">
        <v>2100702</v>
      </c>
      <c r="B193">
        <v>37.935760000000002</v>
      </c>
      <c r="C193">
        <v>-6.5607559999999996</v>
      </c>
      <c r="D193">
        <v>799.08179020938735</v>
      </c>
    </row>
    <row r="194" spans="1:4" x14ac:dyDescent="0.3">
      <c r="A194" s="12">
        <v>2100703</v>
      </c>
      <c r="B194">
        <v>37.896380999999998</v>
      </c>
      <c r="C194">
        <v>-6.5624359999999999</v>
      </c>
      <c r="D194">
        <v>6362.3935237664227</v>
      </c>
    </row>
    <row r="195" spans="1:4" x14ac:dyDescent="0.3">
      <c r="A195" s="12">
        <v>2100801</v>
      </c>
      <c r="B195">
        <v>37.982042</v>
      </c>
      <c r="C195">
        <v>-6.8946969999999999</v>
      </c>
      <c r="D195">
        <v>1249.5309064431392</v>
      </c>
    </row>
    <row r="196" spans="1:4" x14ac:dyDescent="0.3">
      <c r="A196" s="12">
        <v>2100802</v>
      </c>
      <c r="B196">
        <v>37.892054999999999</v>
      </c>
      <c r="C196">
        <v>-6.9551480000000003</v>
      </c>
      <c r="D196">
        <v>859.83977487022014</v>
      </c>
    </row>
    <row r="197" spans="1:4" x14ac:dyDescent="0.3">
      <c r="A197" s="12">
        <v>2100803</v>
      </c>
      <c r="B197">
        <v>37.961064</v>
      </c>
      <c r="C197">
        <v>-7.0385200000000001</v>
      </c>
      <c r="D197">
        <v>570.3463926207877</v>
      </c>
    </row>
    <row r="198" spans="1:4" x14ac:dyDescent="0.3">
      <c r="A198" s="12">
        <v>2100901</v>
      </c>
      <c r="B198">
        <v>38.007997000000003</v>
      </c>
      <c r="C198">
        <v>-6.4180400000000004</v>
      </c>
      <c r="D198">
        <v>630.77154270041183</v>
      </c>
    </row>
    <row r="199" spans="1:4" x14ac:dyDescent="0.3">
      <c r="A199" s="12">
        <v>2101001</v>
      </c>
      <c r="B199">
        <v>37.212598999999997</v>
      </c>
      <c r="C199">
        <v>-7.4101910000000002</v>
      </c>
      <c r="D199">
        <v>9407.5248652526643</v>
      </c>
    </row>
    <row r="200" spans="1:4" x14ac:dyDescent="0.3">
      <c r="A200" s="12">
        <v>2101002</v>
      </c>
      <c r="B200">
        <v>37.210323000000002</v>
      </c>
      <c r="C200">
        <v>-7.4070260000000001</v>
      </c>
      <c r="D200">
        <v>5455.016281469615</v>
      </c>
    </row>
    <row r="201" spans="1:4" x14ac:dyDescent="0.3">
      <c r="A201" s="12">
        <v>2101003</v>
      </c>
      <c r="B201">
        <v>37.188305999999997</v>
      </c>
      <c r="C201">
        <v>-7.3701670000000004</v>
      </c>
      <c r="D201">
        <v>6371.2652845759776</v>
      </c>
    </row>
    <row r="202" spans="1:4" x14ac:dyDescent="0.3">
      <c r="A202" s="12">
        <v>2101101</v>
      </c>
      <c r="B202">
        <v>37.396819000000001</v>
      </c>
      <c r="C202">
        <v>-6.7672639999999999</v>
      </c>
      <c r="D202">
        <v>4263.5312494975597</v>
      </c>
    </row>
    <row r="203" spans="1:4" x14ac:dyDescent="0.3">
      <c r="A203" s="12">
        <v>2101201</v>
      </c>
      <c r="B203">
        <v>37.566187999999997</v>
      </c>
      <c r="C203">
        <v>-6.5086830000000004</v>
      </c>
      <c r="D203">
        <v>295.62026526945465</v>
      </c>
    </row>
    <row r="204" spans="1:4" x14ac:dyDescent="0.3">
      <c r="A204" s="12">
        <v>2101301</v>
      </c>
      <c r="B204">
        <v>37.334288000000001</v>
      </c>
      <c r="C204">
        <v>-6.5378790000000002</v>
      </c>
      <c r="D204">
        <v>2759.2900175882</v>
      </c>
    </row>
    <row r="205" spans="1:4" x14ac:dyDescent="0.3">
      <c r="A205" s="12">
        <v>2101302</v>
      </c>
      <c r="B205">
        <v>37.337263999999998</v>
      </c>
      <c r="C205">
        <v>-6.5419130000000001</v>
      </c>
      <c r="D205">
        <v>2666.2633319625243</v>
      </c>
    </row>
    <row r="206" spans="1:4" x14ac:dyDescent="0.3">
      <c r="A206" s="12">
        <v>2101303</v>
      </c>
      <c r="B206">
        <v>37.353323000000003</v>
      </c>
      <c r="C206">
        <v>-6.5604129999999996</v>
      </c>
      <c r="D206">
        <v>3717.3201371402811</v>
      </c>
    </row>
    <row r="207" spans="1:4" x14ac:dyDescent="0.3">
      <c r="A207" s="12">
        <v>2101304</v>
      </c>
      <c r="B207">
        <v>37.340499000000001</v>
      </c>
      <c r="C207">
        <v>-6.536397</v>
      </c>
      <c r="D207">
        <v>2188.3653247603838</v>
      </c>
    </row>
    <row r="208" spans="1:4" x14ac:dyDescent="0.3">
      <c r="A208" s="12">
        <v>2101305</v>
      </c>
      <c r="B208">
        <v>37.338250000000002</v>
      </c>
      <c r="C208">
        <v>-6.533995</v>
      </c>
      <c r="D208">
        <v>1956.0846546424807</v>
      </c>
    </row>
    <row r="209" spans="1:4" x14ac:dyDescent="0.3">
      <c r="A209" s="12">
        <v>2101401</v>
      </c>
      <c r="B209">
        <v>37.329993999999999</v>
      </c>
      <c r="C209">
        <v>-6.6752779999999996</v>
      </c>
      <c r="D209">
        <v>5377.9756688490506</v>
      </c>
    </row>
    <row r="210" spans="1:4" x14ac:dyDescent="0.3">
      <c r="A210" s="12">
        <v>2101501</v>
      </c>
      <c r="B210">
        <v>37.766768999999996</v>
      </c>
      <c r="C210">
        <v>-7.1070279999999997</v>
      </c>
      <c r="D210">
        <v>641.79778702090732</v>
      </c>
    </row>
    <row r="211" spans="1:4" x14ac:dyDescent="0.3">
      <c r="A211" s="12">
        <v>2101601</v>
      </c>
      <c r="B211">
        <v>37.959612999999997</v>
      </c>
      <c r="C211">
        <v>-6.3323850000000004</v>
      </c>
      <c r="D211">
        <v>969.53706949729087</v>
      </c>
    </row>
    <row r="212" spans="1:4" x14ac:dyDescent="0.3">
      <c r="A212" s="12">
        <v>2101701</v>
      </c>
      <c r="B212">
        <v>37.656346999999997</v>
      </c>
      <c r="C212">
        <v>-6.8793519999999999</v>
      </c>
      <c r="D212">
        <v>2965.7110986000989</v>
      </c>
    </row>
    <row r="213" spans="1:4" x14ac:dyDescent="0.3">
      <c r="A213" s="12">
        <v>2101702</v>
      </c>
      <c r="B213">
        <v>37.640186</v>
      </c>
      <c r="C213">
        <v>-6.8828050000000003</v>
      </c>
      <c r="D213">
        <v>21.514044966268401</v>
      </c>
    </row>
    <row r="214" spans="1:4" x14ac:dyDescent="0.3">
      <c r="A214" s="12">
        <v>2101801</v>
      </c>
      <c r="B214">
        <v>37.705731</v>
      </c>
      <c r="C214">
        <v>-6.6497789999999997</v>
      </c>
      <c r="D214">
        <v>1096.1758605537316</v>
      </c>
    </row>
    <row r="215" spans="1:4" x14ac:dyDescent="0.3">
      <c r="A215" s="12">
        <v>2101802</v>
      </c>
      <c r="B215">
        <v>37.700454999999998</v>
      </c>
      <c r="C215">
        <v>-6.6215229999999998</v>
      </c>
      <c r="D215">
        <v>975.53253143100119</v>
      </c>
    </row>
    <row r="216" spans="1:4" x14ac:dyDescent="0.3">
      <c r="A216" s="12">
        <v>2101901</v>
      </c>
      <c r="B216">
        <v>37.770316000000001</v>
      </c>
      <c r="C216">
        <v>-6.5827869999999997</v>
      </c>
      <c r="D216">
        <v>694.2817498896552</v>
      </c>
    </row>
    <row r="217" spans="1:4" x14ac:dyDescent="0.3">
      <c r="A217" s="12">
        <v>2102001</v>
      </c>
      <c r="B217">
        <v>37.994014999999997</v>
      </c>
      <c r="C217">
        <v>-6.5007609999999998</v>
      </c>
      <c r="D217">
        <v>322.47568215583641</v>
      </c>
    </row>
    <row r="218" spans="1:4" x14ac:dyDescent="0.3">
      <c r="A218" s="12">
        <v>2102101</v>
      </c>
      <c r="B218">
        <v>37.280419000000002</v>
      </c>
      <c r="C218">
        <v>-7.1589790000000004</v>
      </c>
      <c r="D218">
        <v>8209.2079797356291</v>
      </c>
    </row>
    <row r="219" spans="1:4" x14ac:dyDescent="0.3">
      <c r="A219" s="12">
        <v>2102102</v>
      </c>
      <c r="B219">
        <v>37.279262000000003</v>
      </c>
      <c r="C219">
        <v>-7.1551200000000001</v>
      </c>
      <c r="D219">
        <v>13037.182175723112</v>
      </c>
    </row>
    <row r="220" spans="1:4" x14ac:dyDescent="0.3">
      <c r="A220" s="12">
        <v>2102201</v>
      </c>
      <c r="B220">
        <v>37.888108000000003</v>
      </c>
      <c r="C220">
        <v>-6.6871239999999998</v>
      </c>
      <c r="D220">
        <v>217.56375782470556</v>
      </c>
    </row>
    <row r="221" spans="1:4" x14ac:dyDescent="0.3">
      <c r="A221" s="12">
        <v>2102301</v>
      </c>
      <c r="B221">
        <v>37.708162000000002</v>
      </c>
      <c r="C221">
        <v>-7.0148929999999998</v>
      </c>
      <c r="D221">
        <v>2049.1402741172387</v>
      </c>
    </row>
    <row r="222" spans="1:4" x14ac:dyDescent="0.3">
      <c r="A222" s="12">
        <v>2103001</v>
      </c>
      <c r="B222">
        <v>37.355144000000003</v>
      </c>
      <c r="C222">
        <v>-6.394692</v>
      </c>
      <c r="D222">
        <v>1992.433293299559</v>
      </c>
    </row>
    <row r="223" spans="1:4" x14ac:dyDescent="0.3">
      <c r="A223" s="12">
        <v>2102401</v>
      </c>
      <c r="B223">
        <v>37.933067000000001</v>
      </c>
      <c r="C223">
        <v>-6.4939650000000002</v>
      </c>
      <c r="D223">
        <v>552.43271376946257</v>
      </c>
    </row>
    <row r="224" spans="1:4" x14ac:dyDescent="0.3">
      <c r="A224" s="12">
        <v>2102501</v>
      </c>
      <c r="B224">
        <v>37.909663999999999</v>
      </c>
      <c r="C224">
        <v>-6.816567</v>
      </c>
      <c r="D224">
        <v>3126.2723904340546</v>
      </c>
    </row>
    <row r="225" spans="1:4" x14ac:dyDescent="0.3">
      <c r="A225" s="12">
        <v>2102502</v>
      </c>
      <c r="B225">
        <v>37.890385000000002</v>
      </c>
      <c r="C225">
        <v>-6.8668930000000001</v>
      </c>
      <c r="D225">
        <v>1263.524573427522</v>
      </c>
    </row>
    <row r="226" spans="1:4" x14ac:dyDescent="0.3">
      <c r="A226" s="12">
        <v>2102601</v>
      </c>
      <c r="B226">
        <v>37.958835999999998</v>
      </c>
      <c r="C226">
        <v>-6.6248870000000002</v>
      </c>
      <c r="D226">
        <v>285.34296416501564</v>
      </c>
    </row>
    <row r="227" spans="1:4" x14ac:dyDescent="0.3">
      <c r="A227" s="12">
        <v>2102701</v>
      </c>
      <c r="B227">
        <v>38.075150000000001</v>
      </c>
      <c r="C227">
        <v>-6.6967439999999998</v>
      </c>
      <c r="D227">
        <v>59.567841891346582</v>
      </c>
    </row>
    <row r="228" spans="1:4" x14ac:dyDescent="0.3">
      <c r="A228" s="12">
        <v>2102801</v>
      </c>
      <c r="B228">
        <v>38.058194</v>
      </c>
      <c r="C228">
        <v>-6.798241</v>
      </c>
      <c r="D228">
        <v>284.35095143812669</v>
      </c>
    </row>
    <row r="229" spans="1:4" x14ac:dyDescent="0.3">
      <c r="A229" s="12">
        <v>2102901</v>
      </c>
      <c r="B229">
        <v>38.028512999999997</v>
      </c>
      <c r="C229">
        <v>-6.6644769999999998</v>
      </c>
      <c r="D229">
        <v>870.97953535623583</v>
      </c>
    </row>
    <row r="230" spans="1:4" x14ac:dyDescent="0.3">
      <c r="A230" s="12">
        <v>2102902</v>
      </c>
      <c r="B230">
        <v>38.070723999999998</v>
      </c>
      <c r="C230">
        <v>-6.6228449999999999</v>
      </c>
      <c r="D230">
        <v>669.45647689390921</v>
      </c>
    </row>
    <row r="231" spans="1:4" x14ac:dyDescent="0.3">
      <c r="A231" s="12">
        <v>2103101</v>
      </c>
      <c r="B231">
        <v>38.127915999999999</v>
      </c>
      <c r="C231">
        <v>-6.8968449999999999</v>
      </c>
      <c r="D231">
        <v>1088.0133463728312</v>
      </c>
    </row>
    <row r="232" spans="1:4" x14ac:dyDescent="0.3">
      <c r="A232" s="12">
        <v>2103201</v>
      </c>
      <c r="B232">
        <v>37.499749000000001</v>
      </c>
      <c r="C232">
        <v>-6.3906840000000003</v>
      </c>
      <c r="D232">
        <v>2179.4443435097019</v>
      </c>
    </row>
    <row r="233" spans="1:4" x14ac:dyDescent="0.3">
      <c r="A233" s="12">
        <v>2103301</v>
      </c>
      <c r="B233">
        <v>37.907950999999997</v>
      </c>
      <c r="C233">
        <v>-6.6603149999999998</v>
      </c>
      <c r="D233">
        <v>763.41823858975783</v>
      </c>
    </row>
    <row r="234" spans="1:4" x14ac:dyDescent="0.3">
      <c r="A234" s="12">
        <v>2103401</v>
      </c>
      <c r="B234">
        <v>37.927377999999997</v>
      </c>
      <c r="C234">
        <v>-6.6918300000000004</v>
      </c>
      <c r="D234">
        <v>1229.6163068298299</v>
      </c>
    </row>
    <row r="235" spans="1:4" x14ac:dyDescent="0.3">
      <c r="A235" s="12">
        <v>2103501</v>
      </c>
      <c r="B235">
        <v>37.400512999999997</v>
      </c>
      <c r="C235">
        <v>-6.9110950000000004</v>
      </c>
      <c r="D235">
        <v>5700.5318664466986</v>
      </c>
    </row>
    <row r="236" spans="1:4" x14ac:dyDescent="0.3">
      <c r="A236" s="12">
        <v>2103502</v>
      </c>
      <c r="B236">
        <v>37.376958999999999</v>
      </c>
      <c r="C236">
        <v>-6.9675200000000004</v>
      </c>
      <c r="D236">
        <v>6848.8888951039471</v>
      </c>
    </row>
    <row r="237" spans="1:4" x14ac:dyDescent="0.3">
      <c r="A237" s="12">
        <v>2103601</v>
      </c>
      <c r="B237">
        <v>37.771979000000002</v>
      </c>
      <c r="C237">
        <v>-6.5088369999999998</v>
      </c>
      <c r="D237">
        <v>228.93160552875014</v>
      </c>
    </row>
    <row r="238" spans="1:4" x14ac:dyDescent="0.3">
      <c r="A238" s="12">
        <v>2103701</v>
      </c>
      <c r="B238">
        <v>37.518146999999999</v>
      </c>
      <c r="C238">
        <v>-7.4294549999999999</v>
      </c>
      <c r="D238">
        <v>473.69282030944458</v>
      </c>
    </row>
    <row r="239" spans="1:4" x14ac:dyDescent="0.3">
      <c r="A239" s="12">
        <v>2103801</v>
      </c>
      <c r="B239">
        <v>37.833531000000001</v>
      </c>
      <c r="C239">
        <v>-6.4446370000000002</v>
      </c>
      <c r="D239">
        <v>1109.5923986773089</v>
      </c>
    </row>
    <row r="240" spans="1:4" x14ac:dyDescent="0.3">
      <c r="A240" s="12">
        <v>2103901</v>
      </c>
      <c r="B240">
        <v>38.001134</v>
      </c>
      <c r="C240">
        <v>-6.5723000000000003</v>
      </c>
      <c r="D240">
        <v>265.15340435954761</v>
      </c>
    </row>
    <row r="241" spans="1:4" x14ac:dyDescent="0.3">
      <c r="A241" s="12">
        <v>2104001</v>
      </c>
      <c r="B241">
        <v>37.311461000000001</v>
      </c>
      <c r="C241">
        <v>-6.4062049999999999</v>
      </c>
      <c r="D241">
        <v>1726.2312233863106</v>
      </c>
    </row>
    <row r="242" spans="1:4" x14ac:dyDescent="0.3">
      <c r="A242" s="12">
        <v>2104002</v>
      </c>
      <c r="B242">
        <v>37.130965000000003</v>
      </c>
      <c r="C242">
        <v>-6.3998619999999997</v>
      </c>
      <c r="D242">
        <v>2324.9722695438263</v>
      </c>
    </row>
    <row r="243" spans="1:4" x14ac:dyDescent="0.3">
      <c r="A243" s="12">
        <v>2104101</v>
      </c>
      <c r="B243">
        <v>37.257620000000003</v>
      </c>
      <c r="C243">
        <v>-6.9550130000000001</v>
      </c>
      <c r="D243">
        <v>27267.561519837964</v>
      </c>
    </row>
    <row r="244" spans="1:4" x14ac:dyDescent="0.3">
      <c r="A244" s="12">
        <v>2104102</v>
      </c>
      <c r="B244">
        <v>37.265298000000001</v>
      </c>
      <c r="C244">
        <v>-6.9607070000000002</v>
      </c>
      <c r="D244">
        <v>16604.960521473069</v>
      </c>
    </row>
    <row r="245" spans="1:4" x14ac:dyDescent="0.3">
      <c r="A245" s="12">
        <v>2104103</v>
      </c>
      <c r="B245">
        <v>37.253794999999997</v>
      </c>
      <c r="C245">
        <v>-6.9565950000000001</v>
      </c>
      <c r="D245">
        <v>18007.563234100784</v>
      </c>
    </row>
    <row r="246" spans="1:4" x14ac:dyDescent="0.3">
      <c r="A246" s="12">
        <v>2104104</v>
      </c>
      <c r="B246">
        <v>37.261580000000002</v>
      </c>
      <c r="C246">
        <v>-6.9371429999999998</v>
      </c>
      <c r="D246">
        <v>18876.582026419353</v>
      </c>
    </row>
    <row r="247" spans="1:4" x14ac:dyDescent="0.3">
      <c r="A247" s="12">
        <v>2104105</v>
      </c>
      <c r="B247">
        <v>37.263331000000001</v>
      </c>
      <c r="C247">
        <v>-6.9345249999999998</v>
      </c>
      <c r="D247">
        <v>18863.911950133319</v>
      </c>
    </row>
    <row r="248" spans="1:4" x14ac:dyDescent="0.3">
      <c r="A248" s="12">
        <v>2104106</v>
      </c>
      <c r="B248">
        <v>37.262898</v>
      </c>
      <c r="C248">
        <v>-6.928382</v>
      </c>
      <c r="D248">
        <v>9740.9234345752648</v>
      </c>
    </row>
    <row r="249" spans="1:4" x14ac:dyDescent="0.3">
      <c r="A249" s="12">
        <v>2104107</v>
      </c>
      <c r="B249">
        <v>37.266328000000001</v>
      </c>
      <c r="C249">
        <v>-6.9403569999999997</v>
      </c>
      <c r="D249">
        <v>31379.387949546315</v>
      </c>
    </row>
    <row r="250" spans="1:4" x14ac:dyDescent="0.3">
      <c r="A250" s="12">
        <v>2104108</v>
      </c>
      <c r="B250">
        <v>37.297756999999997</v>
      </c>
      <c r="C250">
        <v>-6.960331</v>
      </c>
      <c r="D250">
        <v>15989.984023704183</v>
      </c>
    </row>
    <row r="251" spans="1:4" x14ac:dyDescent="0.3">
      <c r="A251" s="12">
        <v>2104201</v>
      </c>
      <c r="B251">
        <v>37.233561000000002</v>
      </c>
      <c r="C251">
        <v>-7.3003280000000004</v>
      </c>
      <c r="D251">
        <v>1885.1756200732241</v>
      </c>
    </row>
    <row r="252" spans="1:4" x14ac:dyDescent="0.3">
      <c r="A252" s="12">
        <v>2104202</v>
      </c>
      <c r="B252">
        <v>37.200676999999999</v>
      </c>
      <c r="C252">
        <v>-7.3224450000000001</v>
      </c>
      <c r="D252">
        <v>7207.9611830822168</v>
      </c>
    </row>
    <row r="253" spans="1:4" x14ac:dyDescent="0.3">
      <c r="A253" s="12">
        <v>2104203</v>
      </c>
      <c r="B253">
        <v>37.203294999999997</v>
      </c>
      <c r="C253">
        <v>-7.3177190000000003</v>
      </c>
      <c r="D253">
        <v>8335.3311798403101</v>
      </c>
    </row>
    <row r="254" spans="1:4" x14ac:dyDescent="0.3">
      <c r="A254" s="12">
        <v>2104204</v>
      </c>
      <c r="B254">
        <v>37.226143999999998</v>
      </c>
      <c r="C254">
        <v>-7.2589769999999998</v>
      </c>
      <c r="D254">
        <v>1834.2516444091464</v>
      </c>
    </row>
    <row r="255" spans="1:4" x14ac:dyDescent="0.3">
      <c r="A255" s="12">
        <v>2104301</v>
      </c>
      <c r="B255">
        <v>37.910361000000002</v>
      </c>
      <c r="C255">
        <v>-6.730607</v>
      </c>
      <c r="D255">
        <v>2324.9301691668243</v>
      </c>
    </row>
    <row r="256" spans="1:4" x14ac:dyDescent="0.3">
      <c r="A256" s="12">
        <v>2104401</v>
      </c>
      <c r="B256">
        <v>37.255257</v>
      </c>
      <c r="C256">
        <v>-7.2080359999999999</v>
      </c>
      <c r="D256">
        <v>11613.25792930404</v>
      </c>
    </row>
    <row r="257" spans="1:4" x14ac:dyDescent="0.3">
      <c r="A257" s="12">
        <v>2104402</v>
      </c>
      <c r="B257">
        <v>37.243968000000002</v>
      </c>
      <c r="C257">
        <v>-7.2304240000000002</v>
      </c>
      <c r="D257">
        <v>7919.2639184756426</v>
      </c>
    </row>
    <row r="258" spans="1:4" x14ac:dyDescent="0.3">
      <c r="A258" s="12">
        <v>2104403</v>
      </c>
      <c r="B258">
        <v>37.261975999999997</v>
      </c>
      <c r="C258">
        <v>-7.1804969999999999</v>
      </c>
      <c r="D258">
        <v>8746.5288590897544</v>
      </c>
    </row>
    <row r="259" spans="1:4" x14ac:dyDescent="0.3">
      <c r="A259" s="12">
        <v>2104501</v>
      </c>
      <c r="B259">
        <v>37.854528999999999</v>
      </c>
      <c r="C259">
        <v>-6.6068439999999997</v>
      </c>
      <c r="D259">
        <v>293.59355661159321</v>
      </c>
    </row>
    <row r="260" spans="1:4" x14ac:dyDescent="0.3">
      <c r="A260" s="12">
        <v>2104601</v>
      </c>
      <c r="B260">
        <v>37.250979999999998</v>
      </c>
      <c r="C260">
        <v>-6.736694</v>
      </c>
      <c r="D260">
        <v>3425.8829098922538</v>
      </c>
    </row>
    <row r="261" spans="1:4" x14ac:dyDescent="0.3">
      <c r="A261" s="12">
        <v>2104701</v>
      </c>
      <c r="B261">
        <v>37.381895</v>
      </c>
      <c r="C261">
        <v>-6.4201370000000004</v>
      </c>
      <c r="D261">
        <v>821.91193586960787</v>
      </c>
    </row>
    <row r="262" spans="1:4" x14ac:dyDescent="0.3">
      <c r="A262" s="12">
        <v>2104702</v>
      </c>
      <c r="B262">
        <v>37.415444999999998</v>
      </c>
      <c r="C262">
        <v>-6.4637859999999998</v>
      </c>
      <c r="D262">
        <v>1027.7254208437625</v>
      </c>
    </row>
    <row r="263" spans="1:4" x14ac:dyDescent="0.3">
      <c r="A263" s="12">
        <v>2104801</v>
      </c>
      <c r="B263">
        <v>37.902292000000003</v>
      </c>
      <c r="C263">
        <v>-6.621715</v>
      </c>
      <c r="D263">
        <v>425.86337890348165</v>
      </c>
    </row>
    <row r="264" spans="1:4" x14ac:dyDescent="0.3">
      <c r="A264" s="12">
        <v>2104901</v>
      </c>
      <c r="B264">
        <v>37.692604000000003</v>
      </c>
      <c r="C264">
        <v>-6.5927910000000001</v>
      </c>
      <c r="D264">
        <v>3153.0747840953859</v>
      </c>
    </row>
    <row r="265" spans="1:4" x14ac:dyDescent="0.3">
      <c r="A265" s="12">
        <v>2104902</v>
      </c>
      <c r="B265">
        <v>37.700493000000002</v>
      </c>
      <c r="C265">
        <v>-6.5833449999999996</v>
      </c>
      <c r="D265">
        <v>722.74542508640013</v>
      </c>
    </row>
    <row r="266" spans="1:4" x14ac:dyDescent="0.3">
      <c r="A266" s="12">
        <v>2105001</v>
      </c>
      <c r="B266">
        <v>37.296433</v>
      </c>
      <c r="C266">
        <v>-6.8304369999999999</v>
      </c>
      <c r="D266">
        <v>5939.3174574514333</v>
      </c>
    </row>
    <row r="267" spans="1:4" x14ac:dyDescent="0.3">
      <c r="A267" s="12">
        <v>2105002</v>
      </c>
      <c r="B267">
        <v>37.277358999999997</v>
      </c>
      <c r="C267">
        <v>-6.835534</v>
      </c>
      <c r="D267">
        <v>4599.5123198133815</v>
      </c>
    </row>
    <row r="268" spans="1:4" x14ac:dyDescent="0.3">
      <c r="A268" s="12">
        <v>2105003</v>
      </c>
      <c r="B268">
        <v>37.186208999999998</v>
      </c>
      <c r="C268">
        <v>-6.8115579999999998</v>
      </c>
      <c r="D268">
        <v>11841.038923368758</v>
      </c>
    </row>
    <row r="269" spans="1:4" x14ac:dyDescent="0.3">
      <c r="A269" s="12">
        <v>2105101</v>
      </c>
      <c r="B269">
        <v>37.974212000000001</v>
      </c>
      <c r="C269">
        <v>-6.7585160000000002</v>
      </c>
      <c r="D269">
        <v>231.98325414749726</v>
      </c>
    </row>
    <row r="270" spans="1:4" x14ac:dyDescent="0.3">
      <c r="A270" s="12">
        <v>2105201</v>
      </c>
      <c r="B270">
        <v>37.699668000000003</v>
      </c>
      <c r="C270">
        <v>-6.5548830000000002</v>
      </c>
      <c r="D270">
        <v>1780.1128297034647</v>
      </c>
    </row>
    <row r="271" spans="1:4" x14ac:dyDescent="0.3">
      <c r="A271" s="12">
        <v>2105202</v>
      </c>
      <c r="B271">
        <v>37.717754999999997</v>
      </c>
      <c r="C271">
        <v>-6.5287550000000003</v>
      </c>
      <c r="D271">
        <v>1558.6298036977018</v>
      </c>
    </row>
    <row r="272" spans="1:4" x14ac:dyDescent="0.3">
      <c r="A272" s="12">
        <v>2105203</v>
      </c>
      <c r="B272">
        <v>37.681990999999996</v>
      </c>
      <c r="C272">
        <v>-6.5168850000000003</v>
      </c>
      <c r="D272">
        <v>1655.7546829427561</v>
      </c>
    </row>
    <row r="273" spans="1:4" x14ac:dyDescent="0.3">
      <c r="A273" s="12">
        <v>2105301</v>
      </c>
      <c r="B273">
        <v>37.360278000000001</v>
      </c>
      <c r="C273">
        <v>-6.679068</v>
      </c>
      <c r="D273">
        <v>966.21802315872492</v>
      </c>
    </row>
    <row r="274" spans="1:4" x14ac:dyDescent="0.3">
      <c r="A274" s="12">
        <v>2105302</v>
      </c>
      <c r="B274">
        <v>37.355462000000003</v>
      </c>
      <c r="C274">
        <v>-6.658677</v>
      </c>
      <c r="D274">
        <v>1635.6812689056742</v>
      </c>
    </row>
    <row r="275" spans="1:4" x14ac:dyDescent="0.3">
      <c r="A275" s="12">
        <v>2105303</v>
      </c>
      <c r="B275">
        <v>37.446300999999998</v>
      </c>
      <c r="C275">
        <v>-6.6815300000000004</v>
      </c>
      <c r="D275">
        <v>1451.6738809937308</v>
      </c>
    </row>
    <row r="276" spans="1:4" x14ac:dyDescent="0.3">
      <c r="A276" s="12">
        <v>2105401</v>
      </c>
      <c r="B276">
        <v>37.421737999999998</v>
      </c>
      <c r="C276">
        <v>-6.5605039999999999</v>
      </c>
      <c r="D276">
        <v>10484.495049154042</v>
      </c>
    </row>
    <row r="277" spans="1:4" x14ac:dyDescent="0.3">
      <c r="A277" s="12">
        <v>2105501</v>
      </c>
      <c r="B277">
        <v>37.238126000000001</v>
      </c>
      <c r="C277">
        <v>-6.8970370000000001</v>
      </c>
      <c r="D277">
        <v>13613.001293408468</v>
      </c>
    </row>
    <row r="278" spans="1:4" x14ac:dyDescent="0.3">
      <c r="A278" s="12">
        <v>2105601</v>
      </c>
      <c r="B278">
        <v>37.472130999999997</v>
      </c>
      <c r="C278">
        <v>-6.4658360000000004</v>
      </c>
      <c r="D278">
        <v>1719.2145086431997</v>
      </c>
    </row>
    <row r="279" spans="1:4" x14ac:dyDescent="0.3">
      <c r="A279" s="12">
        <v>2105602</v>
      </c>
      <c r="B279">
        <v>37.417848999999997</v>
      </c>
      <c r="C279">
        <v>-6.4015170000000001</v>
      </c>
      <c r="D279">
        <v>1247.27785360232</v>
      </c>
    </row>
    <row r="280" spans="1:4" x14ac:dyDescent="0.3">
      <c r="A280" s="12">
        <v>2105701</v>
      </c>
      <c r="B280">
        <v>37.746803999999997</v>
      </c>
      <c r="C280">
        <v>-7.3165110000000002</v>
      </c>
      <c r="D280">
        <v>1033.5711941592538</v>
      </c>
    </row>
    <row r="281" spans="1:4" x14ac:dyDescent="0.3">
      <c r="A281" s="12">
        <v>2105801</v>
      </c>
      <c r="B281">
        <v>37.635550000000002</v>
      </c>
      <c r="C281">
        <v>-7.3020440000000004</v>
      </c>
      <c r="D281">
        <v>957.27846391999412</v>
      </c>
    </row>
    <row r="282" spans="1:4" x14ac:dyDescent="0.3">
      <c r="A282" s="12">
        <v>2105802</v>
      </c>
      <c r="B282">
        <v>37.612372000000001</v>
      </c>
      <c r="C282">
        <v>-7.2519499999999999</v>
      </c>
      <c r="D282">
        <v>2051.1011982709852</v>
      </c>
    </row>
    <row r="283" spans="1:4" x14ac:dyDescent="0.3">
      <c r="A283" s="12">
        <v>2105901</v>
      </c>
      <c r="B283">
        <v>37.892282999999999</v>
      </c>
      <c r="C283">
        <v>-6.4658660000000001</v>
      </c>
      <c r="D283">
        <v>294.88079131306984</v>
      </c>
    </row>
    <row r="284" spans="1:4" x14ac:dyDescent="0.3">
      <c r="A284" s="12">
        <v>2106001</v>
      </c>
      <c r="B284">
        <v>37.174196000000002</v>
      </c>
      <c r="C284">
        <v>-6.9540449999999998</v>
      </c>
      <c r="D284">
        <v>16128.422898729636</v>
      </c>
    </row>
    <row r="285" spans="1:4" x14ac:dyDescent="0.3">
      <c r="A285" s="12">
        <v>2106101</v>
      </c>
      <c r="B285">
        <v>37.299782</v>
      </c>
      <c r="C285">
        <v>-6.6339090000000001</v>
      </c>
      <c r="D285">
        <v>3440.6618495488506</v>
      </c>
    </row>
    <row r="286" spans="1:4" x14ac:dyDescent="0.3">
      <c r="A286" s="12">
        <v>2106102</v>
      </c>
      <c r="B286">
        <v>37.270166000000003</v>
      </c>
      <c r="C286">
        <v>-6.6197749999999997</v>
      </c>
      <c r="D286">
        <v>3173.9838896337542</v>
      </c>
    </row>
    <row r="287" spans="1:4" x14ac:dyDescent="0.3">
      <c r="A287" s="12">
        <v>2106201</v>
      </c>
      <c r="B287">
        <v>37.924801000000002</v>
      </c>
      <c r="C287">
        <v>-7.1889779999999996</v>
      </c>
      <c r="D287">
        <v>1436.9228944987544</v>
      </c>
    </row>
    <row r="288" spans="1:4" x14ac:dyDescent="0.3">
      <c r="A288" s="12">
        <v>2106301</v>
      </c>
      <c r="B288">
        <v>37.420188000000003</v>
      </c>
      <c r="C288">
        <v>-7.1053879999999996</v>
      </c>
      <c r="D288">
        <v>4005.7635432334318</v>
      </c>
    </row>
    <row r="289" spans="1:4" x14ac:dyDescent="0.3">
      <c r="A289" s="12">
        <v>2106401</v>
      </c>
      <c r="B289">
        <v>37.298026</v>
      </c>
      <c r="C289">
        <v>-6.8536669999999997</v>
      </c>
      <c r="D289">
        <v>4018.2269079706625</v>
      </c>
    </row>
    <row r="290" spans="1:4" x14ac:dyDescent="0.3">
      <c r="A290" s="12">
        <v>2106402</v>
      </c>
      <c r="B290">
        <v>37.353954000000002</v>
      </c>
      <c r="C290">
        <v>-6.8623710000000004</v>
      </c>
      <c r="D290">
        <v>5854.8927746080253</v>
      </c>
    </row>
    <row r="291" spans="1:4" x14ac:dyDescent="0.3">
      <c r="A291" s="12">
        <v>2106601</v>
      </c>
      <c r="B291">
        <v>37.385368999999997</v>
      </c>
      <c r="C291">
        <v>-7.3789300000000004</v>
      </c>
      <c r="D291">
        <v>607.62701183893125</v>
      </c>
    </row>
    <row r="292" spans="1:4" x14ac:dyDescent="0.3">
      <c r="A292" s="12">
        <v>2106501</v>
      </c>
      <c r="B292">
        <v>37.448855999999999</v>
      </c>
      <c r="C292">
        <v>-7.4033110000000004</v>
      </c>
      <c r="D292">
        <v>394.10371890503882</v>
      </c>
    </row>
    <row r="293" spans="1:4" x14ac:dyDescent="0.3">
      <c r="A293" s="12">
        <v>2106701</v>
      </c>
      <c r="B293">
        <v>37.853817999999997</v>
      </c>
      <c r="C293">
        <v>-6.7200040000000003</v>
      </c>
      <c r="D293">
        <v>461.98884044979718</v>
      </c>
    </row>
    <row r="294" spans="1:4" x14ac:dyDescent="0.3">
      <c r="A294" s="12">
        <v>2106801</v>
      </c>
      <c r="B294">
        <v>37.796346999999997</v>
      </c>
      <c r="C294">
        <v>-7.2034200000000004</v>
      </c>
      <c r="D294">
        <v>938.09805723737736</v>
      </c>
    </row>
    <row r="295" spans="1:4" x14ac:dyDescent="0.3">
      <c r="A295" s="12">
        <v>2106901</v>
      </c>
      <c r="B295">
        <v>37.879263000000002</v>
      </c>
      <c r="C295">
        <v>-6.2191539999999996</v>
      </c>
      <c r="D295">
        <v>2010.3322268987388</v>
      </c>
    </row>
    <row r="296" spans="1:4" x14ac:dyDescent="0.3">
      <c r="A296" s="12">
        <v>2107001</v>
      </c>
      <c r="B296">
        <v>37.461969000000003</v>
      </c>
      <c r="C296">
        <v>-6.8889519999999997</v>
      </c>
      <c r="D296">
        <v>5262.8962839053202</v>
      </c>
    </row>
    <row r="297" spans="1:4" x14ac:dyDescent="0.3">
      <c r="A297" s="12">
        <v>2107002</v>
      </c>
      <c r="B297">
        <v>37.380059000000003</v>
      </c>
      <c r="C297">
        <v>-6.8411559999999998</v>
      </c>
      <c r="D297">
        <v>3048.0409631137145</v>
      </c>
    </row>
    <row r="298" spans="1:4" x14ac:dyDescent="0.3">
      <c r="A298" s="12">
        <v>2107101</v>
      </c>
      <c r="B298">
        <v>37.951909000000001</v>
      </c>
      <c r="C298">
        <v>-6.6714149999999997</v>
      </c>
      <c r="D298">
        <v>214.88349411416951</v>
      </c>
    </row>
    <row r="299" spans="1:4" x14ac:dyDescent="0.3">
      <c r="A299" s="12">
        <v>2107201</v>
      </c>
      <c r="B299">
        <v>37.574587000000001</v>
      </c>
      <c r="C299">
        <v>-6.7557070000000001</v>
      </c>
      <c r="D299">
        <v>4274.7233823596198</v>
      </c>
    </row>
    <row r="300" spans="1:4" x14ac:dyDescent="0.3">
      <c r="A300" s="12">
        <v>2107202</v>
      </c>
      <c r="B300">
        <v>37.570985</v>
      </c>
      <c r="C300">
        <v>-6.7524480000000002</v>
      </c>
      <c r="D300">
        <v>2975.8802840571502</v>
      </c>
    </row>
    <row r="301" spans="1:4" x14ac:dyDescent="0.3">
      <c r="A301" s="12">
        <v>2107203</v>
      </c>
      <c r="B301">
        <v>37.572336</v>
      </c>
      <c r="C301">
        <v>-6.758972</v>
      </c>
      <c r="D301">
        <v>6218.2516705683674</v>
      </c>
    </row>
    <row r="302" spans="1:4" x14ac:dyDescent="0.3">
      <c r="A302" s="12">
        <v>2107301</v>
      </c>
      <c r="B302">
        <v>37.307746000000002</v>
      </c>
      <c r="C302">
        <v>-7.3307140000000004</v>
      </c>
      <c r="D302">
        <v>2678.8263851568558</v>
      </c>
    </row>
    <row r="303" spans="1:4" x14ac:dyDescent="0.3">
      <c r="A303" s="12">
        <v>2107401</v>
      </c>
      <c r="B303">
        <v>37.395007</v>
      </c>
      <c r="C303">
        <v>-6.4744989999999998</v>
      </c>
      <c r="D303">
        <v>2751.0765990480991</v>
      </c>
    </row>
    <row r="304" spans="1:4" x14ac:dyDescent="0.3">
      <c r="A304" s="12">
        <v>2107501</v>
      </c>
      <c r="B304">
        <v>37.618982000000003</v>
      </c>
      <c r="C304">
        <v>-7.0142110000000004</v>
      </c>
      <c r="D304">
        <v>338.33432321945776</v>
      </c>
    </row>
    <row r="305" spans="1:4" x14ac:dyDescent="0.3">
      <c r="A305" s="12">
        <v>2107601</v>
      </c>
      <c r="B305">
        <v>37.485138999999997</v>
      </c>
      <c r="C305">
        <v>-7.1937259999999998</v>
      </c>
      <c r="D305">
        <v>1723.5691478054518</v>
      </c>
    </row>
    <row r="306" spans="1:4" x14ac:dyDescent="0.3">
      <c r="A306" s="12">
        <v>2107602</v>
      </c>
      <c r="B306">
        <v>37.430416000000001</v>
      </c>
      <c r="C306">
        <v>-7.2194849999999997</v>
      </c>
      <c r="D306">
        <v>1122.2555686570324</v>
      </c>
    </row>
    <row r="307" spans="1:4" x14ac:dyDescent="0.3">
      <c r="A307" s="12">
        <v>2107701</v>
      </c>
      <c r="B307">
        <v>37.414807000000003</v>
      </c>
      <c r="C307">
        <v>-6.6368099999999997</v>
      </c>
      <c r="D307">
        <v>702.66405592839533</v>
      </c>
    </row>
    <row r="308" spans="1:4" x14ac:dyDescent="0.3">
      <c r="A308" s="12">
        <v>2107702</v>
      </c>
      <c r="B308">
        <v>37.365470000000002</v>
      </c>
      <c r="C308">
        <v>-6.6065930000000002</v>
      </c>
      <c r="D308">
        <v>1277.3355120037825</v>
      </c>
    </row>
    <row r="309" spans="1:4" x14ac:dyDescent="0.3">
      <c r="A309" s="12">
        <v>2107801</v>
      </c>
      <c r="B309">
        <v>37.656064000000001</v>
      </c>
      <c r="C309">
        <v>-6.7508879999999998</v>
      </c>
      <c r="D309">
        <v>1592.4624730538735</v>
      </c>
    </row>
    <row r="310" spans="1:4" x14ac:dyDescent="0.3">
      <c r="A310" s="12">
        <v>2107802</v>
      </c>
      <c r="B310">
        <v>37.612152000000002</v>
      </c>
      <c r="C310">
        <v>-6.6066690000000001</v>
      </c>
      <c r="D310">
        <v>1221.808311267172</v>
      </c>
    </row>
    <row r="311" spans="1:4" x14ac:dyDescent="0.3">
      <c r="A311" s="12">
        <v>2190201</v>
      </c>
      <c r="B311">
        <v>37.690624</v>
      </c>
      <c r="C311">
        <v>-6.8735499999999998</v>
      </c>
      <c r="D311">
        <v>1127.1984013014408</v>
      </c>
    </row>
    <row r="312" spans="1:4" x14ac:dyDescent="0.3">
      <c r="A312" s="12">
        <v>2107901</v>
      </c>
      <c r="B312">
        <v>37.823095000000002</v>
      </c>
      <c r="C312">
        <v>-6.3607839999999998</v>
      </c>
      <c r="D312">
        <v>652.39598191799621</v>
      </c>
    </row>
    <row r="313" spans="1:4" x14ac:dyDescent="0.3">
      <c r="A313" s="12">
        <v>4100101</v>
      </c>
      <c r="B313">
        <v>37.252105</v>
      </c>
      <c r="C313">
        <v>-4.9971740000000002</v>
      </c>
      <c r="D313">
        <v>838.08709892227887</v>
      </c>
    </row>
    <row r="314" spans="1:4" x14ac:dyDescent="0.3">
      <c r="A314" s="12">
        <v>4100102</v>
      </c>
      <c r="B314">
        <v>37.249564999999997</v>
      </c>
      <c r="C314">
        <v>-4.977347</v>
      </c>
      <c r="D314">
        <v>1082.0661771349914</v>
      </c>
    </row>
    <row r="315" spans="1:4" x14ac:dyDescent="0.3">
      <c r="A315" s="12">
        <v>4100201</v>
      </c>
      <c r="B315">
        <v>38.044153000000001</v>
      </c>
      <c r="C315">
        <v>-5.623837</v>
      </c>
      <c r="D315">
        <v>1434.9793075388934</v>
      </c>
    </row>
    <row r="316" spans="1:4" x14ac:dyDescent="0.3">
      <c r="A316" s="12">
        <v>4100301</v>
      </c>
      <c r="B316">
        <v>37.441462000000001</v>
      </c>
      <c r="C316">
        <v>-6.1789759999999996</v>
      </c>
      <c r="D316">
        <v>3093.3663847320463</v>
      </c>
    </row>
    <row r="317" spans="1:4" x14ac:dyDescent="0.3">
      <c r="A317" s="12">
        <v>4100401</v>
      </c>
      <c r="B317">
        <v>37.329180000000001</v>
      </c>
      <c r="C317">
        <v>-5.8305400000000001</v>
      </c>
      <c r="D317">
        <v>4019.9684577678936</v>
      </c>
    </row>
    <row r="318" spans="1:4" x14ac:dyDescent="0.3">
      <c r="A318" s="12">
        <v>4100402</v>
      </c>
      <c r="B318">
        <v>37.334136999999998</v>
      </c>
      <c r="C318">
        <v>-5.8529910000000003</v>
      </c>
      <c r="D318">
        <v>9160.1168077893544</v>
      </c>
    </row>
    <row r="319" spans="1:4" x14ac:dyDescent="0.3">
      <c r="A319" s="12">
        <v>4100403</v>
      </c>
      <c r="B319">
        <v>37.338918</v>
      </c>
      <c r="C319">
        <v>-5.840973</v>
      </c>
      <c r="D319">
        <v>13991.98472987781</v>
      </c>
    </row>
    <row r="320" spans="1:4" x14ac:dyDescent="0.3">
      <c r="A320" s="12">
        <v>4100404</v>
      </c>
      <c r="B320">
        <v>37.337699000000001</v>
      </c>
      <c r="C320">
        <v>-5.8374949999999997</v>
      </c>
      <c r="D320">
        <v>53737.507182929425</v>
      </c>
    </row>
    <row r="321" spans="1:4" x14ac:dyDescent="0.3">
      <c r="A321" s="12">
        <v>4100501</v>
      </c>
      <c r="B321">
        <v>37.521763999999997</v>
      </c>
      <c r="C321">
        <v>-5.9773059999999996</v>
      </c>
      <c r="D321">
        <v>2184.3187439096205</v>
      </c>
    </row>
    <row r="322" spans="1:4" x14ac:dyDescent="0.3">
      <c r="A322" s="12">
        <v>4100502</v>
      </c>
      <c r="B322">
        <v>37.517091999999998</v>
      </c>
      <c r="C322">
        <v>-5.9832369999999999</v>
      </c>
      <c r="D322">
        <v>10407.598445435508</v>
      </c>
    </row>
    <row r="323" spans="1:4" x14ac:dyDescent="0.3">
      <c r="A323" s="12">
        <v>4100601</v>
      </c>
      <c r="B323">
        <v>37.615079999999999</v>
      </c>
      <c r="C323">
        <v>-5.6645209999999997</v>
      </c>
      <c r="D323">
        <v>1330.0374362255111</v>
      </c>
    </row>
    <row r="324" spans="1:4" x14ac:dyDescent="0.3">
      <c r="A324" s="12">
        <v>4100602</v>
      </c>
      <c r="B324">
        <v>37.617798999999998</v>
      </c>
      <c r="C324">
        <v>-5.6689699999999998</v>
      </c>
      <c r="D324">
        <v>1484.7395198030272</v>
      </c>
    </row>
    <row r="325" spans="1:4" x14ac:dyDescent="0.3">
      <c r="A325" s="12">
        <v>4100701</v>
      </c>
      <c r="B325">
        <v>37.462276000000003</v>
      </c>
      <c r="C325">
        <v>-6.0151890000000003</v>
      </c>
      <c r="D325">
        <v>4664.6475437388308</v>
      </c>
    </row>
    <row r="326" spans="1:4" x14ac:dyDescent="0.3">
      <c r="A326" s="12">
        <v>4100702</v>
      </c>
      <c r="B326">
        <v>37.459479000000002</v>
      </c>
      <c r="C326">
        <v>-6.0181339999999999</v>
      </c>
      <c r="D326">
        <v>12374.711230056808</v>
      </c>
    </row>
    <row r="327" spans="1:4" x14ac:dyDescent="0.3">
      <c r="A327" s="12">
        <v>4100801</v>
      </c>
      <c r="B327">
        <v>37.017775999999998</v>
      </c>
      <c r="C327">
        <v>-5.155843</v>
      </c>
      <c r="D327">
        <v>1146.0788871339889</v>
      </c>
    </row>
    <row r="328" spans="1:4" x14ac:dyDescent="0.3">
      <c r="A328" s="12">
        <v>4100901</v>
      </c>
      <c r="B328">
        <v>37.873502000000002</v>
      </c>
      <c r="C328">
        <v>-6.084454</v>
      </c>
      <c r="D328">
        <v>1156.8489829440523</v>
      </c>
    </row>
    <row r="329" spans="1:4" x14ac:dyDescent="0.3">
      <c r="A329" s="12">
        <v>4101001</v>
      </c>
      <c r="B329">
        <v>37.310169000000002</v>
      </c>
      <c r="C329">
        <v>-6.1273350000000004</v>
      </c>
      <c r="D329">
        <v>7728.308153028067</v>
      </c>
    </row>
    <row r="330" spans="1:4" x14ac:dyDescent="0.3">
      <c r="A330" s="12">
        <v>4101101</v>
      </c>
      <c r="B330">
        <v>37.258493999999999</v>
      </c>
      <c r="C330">
        <v>-5.5470389999999998</v>
      </c>
      <c r="D330">
        <v>5424.374073009566</v>
      </c>
    </row>
    <row r="331" spans="1:4" x14ac:dyDescent="0.3">
      <c r="A331" s="12">
        <v>4101102</v>
      </c>
      <c r="B331">
        <v>37.263170000000002</v>
      </c>
      <c r="C331">
        <v>-5.54026</v>
      </c>
      <c r="D331">
        <v>3464.8221272005708</v>
      </c>
    </row>
    <row r="332" spans="1:4" x14ac:dyDescent="0.3">
      <c r="A332" s="12">
        <v>4101103</v>
      </c>
      <c r="B332">
        <v>37.267805000000003</v>
      </c>
      <c r="C332">
        <v>-5.5505259999999996</v>
      </c>
      <c r="D332">
        <v>4902.4703527252759</v>
      </c>
    </row>
    <row r="333" spans="1:4" x14ac:dyDescent="0.3">
      <c r="A333" s="12">
        <v>4101104</v>
      </c>
      <c r="B333">
        <v>37.191195</v>
      </c>
      <c r="C333">
        <v>-5.6028250000000002</v>
      </c>
      <c r="D333">
        <v>4706.5916197731894</v>
      </c>
    </row>
    <row r="334" spans="1:4" x14ac:dyDescent="0.3">
      <c r="A334" s="12">
        <v>4101201</v>
      </c>
      <c r="B334">
        <v>37.313628999999999</v>
      </c>
      <c r="C334">
        <v>-6.255109</v>
      </c>
      <c r="D334">
        <v>4585.5158920251888</v>
      </c>
    </row>
    <row r="335" spans="1:4" x14ac:dyDescent="0.3">
      <c r="A335" s="12">
        <v>4101301</v>
      </c>
      <c r="B335">
        <v>37.523308</v>
      </c>
      <c r="C335">
        <v>-6.2676610000000004</v>
      </c>
      <c r="D335">
        <v>2358.3995481499114</v>
      </c>
    </row>
    <row r="336" spans="1:4" x14ac:dyDescent="0.3">
      <c r="A336" s="12">
        <v>4101302</v>
      </c>
      <c r="B336">
        <v>37.516921000000004</v>
      </c>
      <c r="C336">
        <v>-6.2635160000000001</v>
      </c>
      <c r="D336">
        <v>3469.9665501921509</v>
      </c>
    </row>
    <row r="337" spans="1:4" x14ac:dyDescent="0.3">
      <c r="A337" s="12">
        <v>4101401</v>
      </c>
      <c r="B337">
        <v>37.298859999999998</v>
      </c>
      <c r="C337">
        <v>-4.6951679999999998</v>
      </c>
      <c r="D337">
        <v>2620.4511145771785</v>
      </c>
    </row>
    <row r="338" spans="1:4" x14ac:dyDescent="0.3">
      <c r="A338" s="12">
        <v>4101501</v>
      </c>
      <c r="B338">
        <v>37.336137000000001</v>
      </c>
      <c r="C338">
        <v>-6.2144250000000003</v>
      </c>
      <c r="D338">
        <v>2467.1006011055338</v>
      </c>
    </row>
    <row r="339" spans="1:4" x14ac:dyDescent="0.3">
      <c r="A339" s="12">
        <v>4101502</v>
      </c>
      <c r="B339">
        <v>37.350212999999997</v>
      </c>
      <c r="C339">
        <v>-6.195462</v>
      </c>
      <c r="D339">
        <v>4639.3424644441311</v>
      </c>
    </row>
    <row r="340" spans="1:4" x14ac:dyDescent="0.3">
      <c r="A340" s="12">
        <v>4101601</v>
      </c>
      <c r="B340">
        <v>37.341895000000001</v>
      </c>
      <c r="C340">
        <v>-6.1471289999999996</v>
      </c>
      <c r="D340">
        <v>7451.1707267560005</v>
      </c>
    </row>
    <row r="341" spans="1:4" x14ac:dyDescent="0.3">
      <c r="A341" s="12">
        <v>4101602</v>
      </c>
      <c r="B341">
        <v>37.343969999999999</v>
      </c>
      <c r="C341">
        <v>-6.1349549999999997</v>
      </c>
      <c r="D341">
        <v>5232.0197585237102</v>
      </c>
    </row>
    <row r="342" spans="1:4" x14ac:dyDescent="0.3">
      <c r="A342" s="12">
        <v>4101701</v>
      </c>
      <c r="B342">
        <v>37.372357000000001</v>
      </c>
      <c r="C342">
        <v>-6.0686780000000002</v>
      </c>
      <c r="D342">
        <v>29450.602052694114</v>
      </c>
    </row>
    <row r="343" spans="1:4" x14ac:dyDescent="0.3">
      <c r="A343" s="12">
        <v>4101801</v>
      </c>
      <c r="B343">
        <v>37.550109999999997</v>
      </c>
      <c r="C343">
        <v>-5.8763379999999996</v>
      </c>
      <c r="D343">
        <v>12340.444186147504</v>
      </c>
    </row>
    <row r="344" spans="1:4" x14ac:dyDescent="0.3">
      <c r="A344" s="12">
        <v>4101901</v>
      </c>
      <c r="B344">
        <v>37.601502000000004</v>
      </c>
      <c r="C344">
        <v>-5.9584349999999997</v>
      </c>
      <c r="D344">
        <v>6693.497735714951</v>
      </c>
    </row>
    <row r="345" spans="1:4" x14ac:dyDescent="0.3">
      <c r="A345" s="12">
        <v>4102001</v>
      </c>
      <c r="B345">
        <v>36.979393000000002</v>
      </c>
      <c r="C345">
        <v>-5.9439149999999996</v>
      </c>
      <c r="D345">
        <v>4239.7548283686838</v>
      </c>
    </row>
    <row r="346" spans="1:4" x14ac:dyDescent="0.3">
      <c r="A346" s="12">
        <v>4102002</v>
      </c>
      <c r="B346">
        <v>36.989319999999999</v>
      </c>
      <c r="C346">
        <v>-5.9348580000000002</v>
      </c>
      <c r="D346">
        <v>10157.186969580216</v>
      </c>
    </row>
    <row r="347" spans="1:4" x14ac:dyDescent="0.3">
      <c r="A347" s="12">
        <v>4102101</v>
      </c>
      <c r="B347">
        <v>37.402329999999999</v>
      </c>
      <c r="C347">
        <v>-6.0327650000000004</v>
      </c>
      <c r="D347">
        <v>9727.7745863993059</v>
      </c>
    </row>
    <row r="348" spans="1:4" x14ac:dyDescent="0.3">
      <c r="A348" s="12">
        <v>4102102</v>
      </c>
      <c r="B348">
        <v>37.399748000000002</v>
      </c>
      <c r="C348">
        <v>-6.0341670000000001</v>
      </c>
      <c r="D348">
        <v>13117.152348894848</v>
      </c>
    </row>
    <row r="349" spans="1:4" x14ac:dyDescent="0.3">
      <c r="A349" s="12">
        <v>4102103</v>
      </c>
      <c r="B349">
        <v>37.386907999999998</v>
      </c>
      <c r="C349">
        <v>-6.0307069999999996</v>
      </c>
      <c r="D349">
        <v>3203.5131114915876</v>
      </c>
    </row>
    <row r="350" spans="1:4" x14ac:dyDescent="0.3">
      <c r="A350" s="12">
        <v>4102104</v>
      </c>
      <c r="B350">
        <v>37.382748999999997</v>
      </c>
      <c r="C350">
        <v>-6.0373479999999997</v>
      </c>
      <c r="D350">
        <v>2452.7401267340001</v>
      </c>
    </row>
    <row r="351" spans="1:4" x14ac:dyDescent="0.3">
      <c r="A351" s="12">
        <v>4102201</v>
      </c>
      <c r="B351">
        <v>37.572667000000003</v>
      </c>
      <c r="C351">
        <v>-5.4303720000000002</v>
      </c>
      <c r="D351">
        <v>1810.3930116814417</v>
      </c>
    </row>
    <row r="352" spans="1:4" x14ac:dyDescent="0.3">
      <c r="A352" s="12">
        <v>4102202</v>
      </c>
      <c r="B352">
        <v>37.567486000000002</v>
      </c>
      <c r="C352">
        <v>-5.4265610000000004</v>
      </c>
      <c r="D352">
        <v>2586.3596020675118</v>
      </c>
    </row>
    <row r="353" spans="1:4" x14ac:dyDescent="0.3">
      <c r="A353" s="12">
        <v>4102301</v>
      </c>
      <c r="B353">
        <v>37.607061000000002</v>
      </c>
      <c r="C353">
        <v>-5.8278489999999996</v>
      </c>
      <c r="D353">
        <v>5004.3996568806087</v>
      </c>
    </row>
    <row r="354" spans="1:4" x14ac:dyDescent="0.3">
      <c r="A354" s="12">
        <v>4102302</v>
      </c>
      <c r="B354">
        <v>37.623345999999998</v>
      </c>
      <c r="C354">
        <v>-5.8173890000000004</v>
      </c>
      <c r="D354">
        <v>4760.3561644230931</v>
      </c>
    </row>
    <row r="355" spans="1:4" x14ac:dyDescent="0.3">
      <c r="A355" s="12">
        <v>4190101</v>
      </c>
      <c r="B355">
        <v>37.586784999999999</v>
      </c>
      <c r="C355">
        <v>-5.2360220000000002</v>
      </c>
      <c r="D355">
        <v>3292.1942123983135</v>
      </c>
    </row>
    <row r="356" spans="1:4" x14ac:dyDescent="0.3">
      <c r="A356" s="12">
        <v>4102401</v>
      </c>
      <c r="B356">
        <v>37.472250000000003</v>
      </c>
      <c r="C356">
        <v>-5.6391540000000004</v>
      </c>
      <c r="D356">
        <v>1710.2963808234258</v>
      </c>
    </row>
    <row r="357" spans="1:4" x14ac:dyDescent="0.3">
      <c r="A357" s="12">
        <v>4102402</v>
      </c>
      <c r="B357">
        <v>37.473999999999997</v>
      </c>
      <c r="C357">
        <v>-5.6347860000000001</v>
      </c>
      <c r="D357">
        <v>922.80778426800134</v>
      </c>
    </row>
    <row r="358" spans="1:4" x14ac:dyDescent="0.3">
      <c r="A358" s="12">
        <v>4102403</v>
      </c>
      <c r="B358">
        <v>37.474400000000003</v>
      </c>
      <c r="C358">
        <v>-5.6404629999999996</v>
      </c>
      <c r="D358">
        <v>1070.5805451383339</v>
      </c>
    </row>
    <row r="359" spans="1:4" x14ac:dyDescent="0.3">
      <c r="A359" s="12">
        <v>4102404</v>
      </c>
      <c r="B359">
        <v>37.476053</v>
      </c>
      <c r="C359">
        <v>-5.645022</v>
      </c>
      <c r="D359">
        <v>9514.8186645759015</v>
      </c>
    </row>
    <row r="360" spans="1:4" x14ac:dyDescent="0.3">
      <c r="A360" s="12">
        <v>4102405</v>
      </c>
      <c r="B360">
        <v>37.467872</v>
      </c>
      <c r="C360">
        <v>-5.649489</v>
      </c>
      <c r="D360">
        <v>7809.7944721712338</v>
      </c>
    </row>
    <row r="361" spans="1:4" x14ac:dyDescent="0.3">
      <c r="A361" s="12">
        <v>4102406</v>
      </c>
      <c r="B361">
        <v>37.586812999999999</v>
      </c>
      <c r="C361">
        <v>-5.6135250000000001</v>
      </c>
      <c r="D361">
        <v>8297.9950770351606</v>
      </c>
    </row>
    <row r="362" spans="1:4" x14ac:dyDescent="0.3">
      <c r="A362" s="12">
        <v>4102501</v>
      </c>
      <c r="B362">
        <v>37.369743</v>
      </c>
      <c r="C362">
        <v>-6.3220789999999996</v>
      </c>
      <c r="D362">
        <v>1377.9860920360304</v>
      </c>
    </row>
    <row r="363" spans="1:4" x14ac:dyDescent="0.3">
      <c r="A363" s="12">
        <v>4102502</v>
      </c>
      <c r="B363">
        <v>37.361961999999998</v>
      </c>
      <c r="C363">
        <v>-6.330355</v>
      </c>
      <c r="D363">
        <v>1182.0351092711724</v>
      </c>
    </row>
    <row r="364" spans="1:4" x14ac:dyDescent="0.3">
      <c r="A364" s="12">
        <v>4102601</v>
      </c>
      <c r="B364">
        <v>37.299737999999998</v>
      </c>
      <c r="C364">
        <v>-4.7526330000000003</v>
      </c>
      <c r="D364">
        <v>2881.7114064697648</v>
      </c>
    </row>
    <row r="365" spans="1:4" x14ac:dyDescent="0.3">
      <c r="A365" s="12">
        <v>4102602</v>
      </c>
      <c r="B365">
        <v>37.296487999999997</v>
      </c>
      <c r="C365">
        <v>-4.7629729999999997</v>
      </c>
      <c r="D365">
        <v>1885.9389536044266</v>
      </c>
    </row>
    <row r="366" spans="1:4" x14ac:dyDescent="0.3">
      <c r="A366" s="12">
        <v>4102701</v>
      </c>
      <c r="B366">
        <v>37.673915000000001</v>
      </c>
      <c r="C366">
        <v>-5.9859920000000004</v>
      </c>
      <c r="D366">
        <v>2010.6894546310327</v>
      </c>
    </row>
    <row r="367" spans="1:4" x14ac:dyDescent="0.3">
      <c r="A367" s="12">
        <v>4102702</v>
      </c>
      <c r="B367">
        <v>37.674089000000002</v>
      </c>
      <c r="C367">
        <v>-5.9917230000000004</v>
      </c>
      <c r="D367">
        <v>2583.5696190871313</v>
      </c>
    </row>
    <row r="368" spans="1:4" x14ac:dyDescent="0.3">
      <c r="A368" s="12">
        <v>4102801</v>
      </c>
      <c r="B368">
        <v>37.409554999999997</v>
      </c>
      <c r="C368">
        <v>-6.0513130000000004</v>
      </c>
      <c r="D368">
        <v>3910.9188859250194</v>
      </c>
    </row>
    <row r="369" spans="1:4" x14ac:dyDescent="0.3">
      <c r="A369" s="12">
        <v>4102901</v>
      </c>
      <c r="B369">
        <v>37.389220000000002</v>
      </c>
      <c r="C369">
        <v>-6.0521609999999999</v>
      </c>
      <c r="D369">
        <v>18127.627074038075</v>
      </c>
    </row>
    <row r="370" spans="1:4" x14ac:dyDescent="0.3">
      <c r="A370" s="12">
        <v>4103001</v>
      </c>
      <c r="B370">
        <v>37.392215999999998</v>
      </c>
      <c r="C370">
        <v>-6.3377119999999998</v>
      </c>
      <c r="D370">
        <v>565.89636922285035</v>
      </c>
    </row>
    <row r="371" spans="1:4" x14ac:dyDescent="0.3">
      <c r="A371" s="12">
        <v>4103101</v>
      </c>
      <c r="B371">
        <v>37.693562999999997</v>
      </c>
      <c r="C371">
        <v>-6.3172689999999996</v>
      </c>
      <c r="D371">
        <v>1322.3593621570285</v>
      </c>
    </row>
    <row r="372" spans="1:4" x14ac:dyDescent="0.3">
      <c r="A372" s="12">
        <v>4103201</v>
      </c>
      <c r="B372">
        <v>37.927843000000003</v>
      </c>
      <c r="C372">
        <v>-5.7609490000000001</v>
      </c>
      <c r="D372">
        <v>1550.7047629768329</v>
      </c>
    </row>
    <row r="373" spans="1:4" x14ac:dyDescent="0.3">
      <c r="A373" s="12">
        <v>4103202</v>
      </c>
      <c r="B373">
        <v>37.933740999999998</v>
      </c>
      <c r="C373">
        <v>-5.7607220000000003</v>
      </c>
      <c r="D373">
        <v>2465.8978833603724</v>
      </c>
    </row>
    <row r="374" spans="1:4" x14ac:dyDescent="0.3">
      <c r="A374" s="12">
        <v>4103301</v>
      </c>
      <c r="B374">
        <v>37.866253999999998</v>
      </c>
      <c r="C374">
        <v>-5.6191190000000004</v>
      </c>
      <c r="D374">
        <v>2121.28327577338</v>
      </c>
    </row>
    <row r="375" spans="1:4" x14ac:dyDescent="0.3">
      <c r="A375" s="12">
        <v>4103302</v>
      </c>
      <c r="B375">
        <v>37.874085999999998</v>
      </c>
      <c r="C375">
        <v>-5.6186809999999996</v>
      </c>
      <c r="D375">
        <v>1055.8034426993834</v>
      </c>
    </row>
    <row r="376" spans="1:4" x14ac:dyDescent="0.3">
      <c r="A376" s="12">
        <v>4103303</v>
      </c>
      <c r="B376">
        <v>37.844208999999999</v>
      </c>
      <c r="C376">
        <v>-5.6415930000000003</v>
      </c>
      <c r="D376">
        <v>785.83515777207504</v>
      </c>
    </row>
    <row r="377" spans="1:4" x14ac:dyDescent="0.3">
      <c r="A377" s="12">
        <v>4103304</v>
      </c>
      <c r="B377">
        <v>37.851652000000001</v>
      </c>
      <c r="C377">
        <v>-5.5949540000000004</v>
      </c>
      <c r="D377">
        <v>835.56952337046971</v>
      </c>
    </row>
    <row r="378" spans="1:4" x14ac:dyDescent="0.3">
      <c r="A378" s="12">
        <v>4103401</v>
      </c>
      <c r="B378">
        <v>37.287025999999997</v>
      </c>
      <c r="C378">
        <v>-6.0531040000000003</v>
      </c>
      <c r="D378">
        <v>16620.033692660974</v>
      </c>
    </row>
    <row r="379" spans="1:4" x14ac:dyDescent="0.3">
      <c r="A379" s="12">
        <v>4103402</v>
      </c>
      <c r="B379">
        <v>37.27711</v>
      </c>
      <c r="C379">
        <v>-6.0548169999999999</v>
      </c>
      <c r="D379">
        <v>3753.0547483664936</v>
      </c>
    </row>
    <row r="380" spans="1:4" x14ac:dyDescent="0.3">
      <c r="A380" s="12">
        <v>4103403</v>
      </c>
      <c r="B380">
        <v>37.283959000000003</v>
      </c>
      <c r="C380">
        <v>-6.0538420000000004</v>
      </c>
      <c r="D380">
        <v>8969.4336217961027</v>
      </c>
    </row>
    <row r="381" spans="1:4" x14ac:dyDescent="0.3">
      <c r="A381" s="12">
        <v>4103501</v>
      </c>
      <c r="B381">
        <v>36.987177000000003</v>
      </c>
      <c r="C381">
        <v>-5.4055549999999997</v>
      </c>
      <c r="D381">
        <v>1036.2096219920263</v>
      </c>
    </row>
    <row r="382" spans="1:4" x14ac:dyDescent="0.3">
      <c r="A382" s="12">
        <v>4103601</v>
      </c>
      <c r="B382">
        <v>37.080508000000002</v>
      </c>
      <c r="C382">
        <v>-5.6310830000000003</v>
      </c>
      <c r="D382">
        <v>1830.4683288522897</v>
      </c>
    </row>
    <row r="383" spans="1:4" x14ac:dyDescent="0.3">
      <c r="A383" s="12">
        <v>4103602</v>
      </c>
      <c r="B383">
        <v>37.078840999999997</v>
      </c>
      <c r="C383">
        <v>-5.6352469999999997</v>
      </c>
      <c r="D383">
        <v>2311.4192439080016</v>
      </c>
    </row>
    <row r="384" spans="1:4" x14ac:dyDescent="0.3">
      <c r="A384" s="12">
        <v>4103701</v>
      </c>
      <c r="B384">
        <v>37.099314999999997</v>
      </c>
      <c r="C384">
        <v>-4.980334</v>
      </c>
      <c r="D384">
        <v>1695.7546523586479</v>
      </c>
    </row>
    <row r="385" spans="1:4" x14ac:dyDescent="0.3">
      <c r="A385" s="12">
        <v>4103702</v>
      </c>
      <c r="B385">
        <v>37.110045</v>
      </c>
      <c r="C385">
        <v>-5.0148529999999996</v>
      </c>
      <c r="D385">
        <v>1999.7502671267148</v>
      </c>
    </row>
    <row r="386" spans="1:4" x14ac:dyDescent="0.3">
      <c r="A386" s="12">
        <v>4190301</v>
      </c>
      <c r="B386">
        <v>36.850746000000001</v>
      </c>
      <c r="C386">
        <v>-6.0380079999999996</v>
      </c>
      <c r="D386">
        <v>7653.4393269400898</v>
      </c>
    </row>
    <row r="387" spans="1:4" x14ac:dyDescent="0.3">
      <c r="A387" s="12">
        <v>4103801</v>
      </c>
      <c r="B387">
        <v>37.28201</v>
      </c>
      <c r="C387">
        <v>-5.9177790000000003</v>
      </c>
      <c r="D387">
        <v>10674.895074230561</v>
      </c>
    </row>
    <row r="388" spans="1:4" x14ac:dyDescent="0.3">
      <c r="A388" s="12">
        <v>4103802</v>
      </c>
      <c r="B388">
        <v>37.284973000000001</v>
      </c>
      <c r="C388">
        <v>-5.9228750000000003</v>
      </c>
      <c r="D388">
        <v>17882.171215353654</v>
      </c>
    </row>
    <row r="389" spans="1:4" x14ac:dyDescent="0.3">
      <c r="A389" s="12">
        <v>4103803</v>
      </c>
      <c r="B389">
        <v>37.268726000000001</v>
      </c>
      <c r="C389">
        <v>-5.9235490000000004</v>
      </c>
      <c r="D389">
        <v>23018.823551665275</v>
      </c>
    </row>
    <row r="390" spans="1:4" x14ac:dyDescent="0.3">
      <c r="A390" s="12">
        <v>4103804</v>
      </c>
      <c r="B390">
        <v>37.287126000000001</v>
      </c>
      <c r="C390">
        <v>-5.9277319999999998</v>
      </c>
      <c r="D390">
        <v>46052.185759565749</v>
      </c>
    </row>
    <row r="391" spans="1:4" x14ac:dyDescent="0.3">
      <c r="A391" s="12">
        <v>4103805</v>
      </c>
      <c r="B391">
        <v>37.344309000000003</v>
      </c>
      <c r="C391">
        <v>-5.936896</v>
      </c>
      <c r="D391">
        <v>65292.576602788205</v>
      </c>
    </row>
    <row r="392" spans="1:4" x14ac:dyDescent="0.3">
      <c r="A392" s="12">
        <v>4103901</v>
      </c>
      <c r="B392">
        <v>37.543443000000003</v>
      </c>
      <c r="C392">
        <v>-5.0816939999999997</v>
      </c>
      <c r="D392">
        <v>11954.254292769539</v>
      </c>
    </row>
    <row r="393" spans="1:4" x14ac:dyDescent="0.3">
      <c r="A393" s="12">
        <v>4103902</v>
      </c>
      <c r="B393">
        <v>37.550007000000001</v>
      </c>
      <c r="C393">
        <v>-5.0848870000000002</v>
      </c>
      <c r="D393">
        <v>5668.9517280183236</v>
      </c>
    </row>
    <row r="394" spans="1:4" x14ac:dyDescent="0.3">
      <c r="A394" s="12">
        <v>4103903</v>
      </c>
      <c r="B394">
        <v>37.537191999999997</v>
      </c>
      <c r="C394">
        <v>-5.0870850000000001</v>
      </c>
      <c r="D394">
        <v>8932.4986286783442</v>
      </c>
    </row>
    <row r="395" spans="1:4" x14ac:dyDescent="0.3">
      <c r="A395" s="12">
        <v>4103904</v>
      </c>
      <c r="B395">
        <v>37.537413999999998</v>
      </c>
      <c r="C395">
        <v>-5.0782759999999998</v>
      </c>
      <c r="D395">
        <v>7286.6310815275947</v>
      </c>
    </row>
    <row r="396" spans="1:4" x14ac:dyDescent="0.3">
      <c r="A396" s="12">
        <v>4103905</v>
      </c>
      <c r="B396">
        <v>37.543050999999998</v>
      </c>
      <c r="C396">
        <v>-5.0779699999999997</v>
      </c>
      <c r="D396">
        <v>3260.3794255073594</v>
      </c>
    </row>
    <row r="397" spans="1:4" x14ac:dyDescent="0.3">
      <c r="A397" s="12">
        <v>4104001</v>
      </c>
      <c r="B397">
        <v>37.379685000000002</v>
      </c>
      <c r="C397">
        <v>-6.1275529999999998</v>
      </c>
      <c r="D397">
        <v>24049.25895531525</v>
      </c>
    </row>
    <row r="398" spans="1:4" x14ac:dyDescent="0.3">
      <c r="A398" s="12">
        <v>4104101</v>
      </c>
      <c r="B398">
        <v>37.290866000000001</v>
      </c>
      <c r="C398">
        <v>-4.8889779999999998</v>
      </c>
      <c r="D398">
        <v>3790.7419337380893</v>
      </c>
    </row>
    <row r="399" spans="1:4" x14ac:dyDescent="0.3">
      <c r="A399" s="12">
        <v>4104102</v>
      </c>
      <c r="B399">
        <v>37.291083</v>
      </c>
      <c r="C399">
        <v>-4.878838</v>
      </c>
      <c r="D399">
        <v>2519.4145114792386</v>
      </c>
    </row>
    <row r="400" spans="1:4" x14ac:dyDescent="0.3">
      <c r="A400" s="12">
        <v>4104103</v>
      </c>
      <c r="B400">
        <v>37.288772999999999</v>
      </c>
      <c r="C400">
        <v>-4.8752519999999997</v>
      </c>
      <c r="D400">
        <v>2337.9595945053165</v>
      </c>
    </row>
    <row r="401" spans="1:4" x14ac:dyDescent="0.3">
      <c r="A401" s="12">
        <v>4104104</v>
      </c>
      <c r="B401">
        <v>37.297145</v>
      </c>
      <c r="C401">
        <v>-4.8835940000000004</v>
      </c>
      <c r="D401">
        <v>3844.5238628037437</v>
      </c>
    </row>
    <row r="402" spans="1:4" x14ac:dyDescent="0.3">
      <c r="A402" s="12">
        <v>4104201</v>
      </c>
      <c r="B402">
        <v>37.464106000000001</v>
      </c>
      <c r="C402">
        <v>-5.348649</v>
      </c>
      <c r="D402">
        <v>942.00759022167256</v>
      </c>
    </row>
    <row r="403" spans="1:4" x14ac:dyDescent="0.3">
      <c r="A403" s="12">
        <v>4104202</v>
      </c>
      <c r="B403">
        <v>37.466979000000002</v>
      </c>
      <c r="C403">
        <v>-5.346139</v>
      </c>
      <c r="D403">
        <v>1900.9468176338073</v>
      </c>
    </row>
    <row r="404" spans="1:4" x14ac:dyDescent="0.3">
      <c r="A404" s="12">
        <v>4104203</v>
      </c>
      <c r="B404">
        <v>37.448582000000002</v>
      </c>
      <c r="C404">
        <v>-5.3540679999999998</v>
      </c>
      <c r="D404">
        <v>3824.9020161845115</v>
      </c>
    </row>
    <row r="405" spans="1:4" x14ac:dyDescent="0.3">
      <c r="A405" s="12">
        <v>4104301</v>
      </c>
      <c r="B405">
        <v>37.631157999999999</v>
      </c>
      <c r="C405">
        <v>-6.1792210000000001</v>
      </c>
      <c r="D405">
        <v>746.15158929590007</v>
      </c>
    </row>
    <row r="406" spans="1:4" x14ac:dyDescent="0.3">
      <c r="A406" s="12">
        <v>4104401</v>
      </c>
      <c r="B406">
        <v>37.335278000000002</v>
      </c>
      <c r="C406">
        <v>-6.0992819999999996</v>
      </c>
      <c r="D406">
        <v>12704.811315273153</v>
      </c>
    </row>
    <row r="407" spans="1:4" x14ac:dyDescent="0.3">
      <c r="A407" s="12">
        <v>4104501</v>
      </c>
      <c r="B407">
        <v>37.521419999999999</v>
      </c>
      <c r="C407">
        <v>-6.1193770000000001</v>
      </c>
      <c r="D407">
        <v>2583.3934827077192</v>
      </c>
    </row>
    <row r="408" spans="1:4" x14ac:dyDescent="0.3">
      <c r="A408" s="12">
        <v>4104502</v>
      </c>
      <c r="B408">
        <v>37.506895999999998</v>
      </c>
      <c r="C408">
        <v>-6.1617249999999997</v>
      </c>
      <c r="D408">
        <v>5776.4281810607599</v>
      </c>
    </row>
    <row r="409" spans="1:4" x14ac:dyDescent="0.3">
      <c r="A409" s="12">
        <v>4104601</v>
      </c>
      <c r="B409">
        <v>37.251365999999997</v>
      </c>
      <c r="C409">
        <v>-4.9154660000000003</v>
      </c>
      <c r="D409">
        <v>1436.3620898311567</v>
      </c>
    </row>
    <row r="410" spans="1:4" x14ac:dyDescent="0.3">
      <c r="A410" s="12">
        <v>4104602</v>
      </c>
      <c r="B410">
        <v>37.231752</v>
      </c>
      <c r="C410">
        <v>-4.9349410000000002</v>
      </c>
      <c r="D410">
        <v>2188.4143308293656</v>
      </c>
    </row>
    <row r="411" spans="1:4" x14ac:dyDescent="0.3">
      <c r="A411" s="12">
        <v>4104701</v>
      </c>
      <c r="B411">
        <v>37.385706999999996</v>
      </c>
      <c r="C411">
        <v>-6.077521</v>
      </c>
      <c r="D411">
        <v>17066.530353597242</v>
      </c>
    </row>
    <row r="412" spans="1:4" x14ac:dyDescent="0.3">
      <c r="A412" s="12">
        <v>4104801</v>
      </c>
      <c r="B412">
        <v>38.093992999999998</v>
      </c>
      <c r="C412">
        <v>-5.820716</v>
      </c>
      <c r="D412">
        <v>781.07768579791457</v>
      </c>
    </row>
    <row r="413" spans="1:4" x14ac:dyDescent="0.3">
      <c r="A413" s="12">
        <v>4104802</v>
      </c>
      <c r="B413">
        <v>38.093755000000002</v>
      </c>
      <c r="C413">
        <v>-5.8172949999999997</v>
      </c>
      <c r="D413">
        <v>494.53311644555009</v>
      </c>
    </row>
    <row r="414" spans="1:4" x14ac:dyDescent="0.3">
      <c r="A414" s="12">
        <v>4104803</v>
      </c>
      <c r="B414">
        <v>38.100313999999997</v>
      </c>
      <c r="C414">
        <v>-5.8109489999999999</v>
      </c>
      <c r="D414">
        <v>739.91984805772552</v>
      </c>
    </row>
    <row r="415" spans="1:4" x14ac:dyDescent="0.3">
      <c r="A415" s="12">
        <v>4104901</v>
      </c>
      <c r="B415">
        <v>37.537854000000003</v>
      </c>
      <c r="C415">
        <v>-6.0510169999999999</v>
      </c>
      <c r="D415">
        <v>13927.408219300596</v>
      </c>
    </row>
    <row r="416" spans="1:4" x14ac:dyDescent="0.3">
      <c r="A416" s="12">
        <v>4105001</v>
      </c>
      <c r="B416">
        <v>37.362464000000003</v>
      </c>
      <c r="C416">
        <v>-4.8796309999999998</v>
      </c>
      <c r="D416">
        <v>899.22939846995644</v>
      </c>
    </row>
    <row r="417" spans="1:4" x14ac:dyDescent="0.3">
      <c r="A417" s="12">
        <v>4105002</v>
      </c>
      <c r="B417">
        <v>37.392744999999998</v>
      </c>
      <c r="C417">
        <v>-4.8811059999999999</v>
      </c>
      <c r="D417">
        <v>2250.389687234504</v>
      </c>
    </row>
    <row r="418" spans="1:4" x14ac:dyDescent="0.3">
      <c r="A418" s="12">
        <v>4105003</v>
      </c>
      <c r="B418">
        <v>37.35275</v>
      </c>
      <c r="C418">
        <v>-4.8364739999999999</v>
      </c>
      <c r="D418">
        <v>3038.3850981779933</v>
      </c>
    </row>
    <row r="419" spans="1:4" x14ac:dyDescent="0.3">
      <c r="A419" s="12">
        <v>4105101</v>
      </c>
      <c r="B419">
        <v>37.347011000000002</v>
      </c>
      <c r="C419">
        <v>-6.2985850000000001</v>
      </c>
      <c r="D419">
        <v>3682.9447976841543</v>
      </c>
    </row>
    <row r="420" spans="1:4" x14ac:dyDescent="0.3">
      <c r="A420" s="12">
        <v>4190201</v>
      </c>
      <c r="B420">
        <v>37.164977</v>
      </c>
      <c r="C420">
        <v>-6.157108</v>
      </c>
      <c r="D420">
        <v>4831.4318465390579</v>
      </c>
    </row>
    <row r="421" spans="1:4" x14ac:dyDescent="0.3">
      <c r="A421" s="12">
        <v>4105201</v>
      </c>
      <c r="B421">
        <v>37.348590000000002</v>
      </c>
      <c r="C421">
        <v>-5.2249359999999996</v>
      </c>
      <c r="D421">
        <v>3668.8947711775404</v>
      </c>
    </row>
    <row r="422" spans="1:4" x14ac:dyDescent="0.3">
      <c r="A422" s="12">
        <v>4105301</v>
      </c>
      <c r="B422">
        <v>36.918325000000003</v>
      </c>
      <c r="C422">
        <v>-6.0752540000000002</v>
      </c>
      <c r="D422">
        <v>9013.0643867055023</v>
      </c>
    </row>
    <row r="423" spans="1:4" x14ac:dyDescent="0.3">
      <c r="A423" s="12">
        <v>4105302</v>
      </c>
      <c r="B423">
        <v>36.915283000000002</v>
      </c>
      <c r="C423">
        <v>-6.0800700000000001</v>
      </c>
      <c r="D423">
        <v>4000.416501614618</v>
      </c>
    </row>
    <row r="424" spans="1:4" x14ac:dyDescent="0.3">
      <c r="A424" s="12">
        <v>4105303</v>
      </c>
      <c r="B424">
        <v>36.921317999999999</v>
      </c>
      <c r="C424">
        <v>-6.0688550000000001</v>
      </c>
      <c r="D424">
        <v>5454.9604630366775</v>
      </c>
    </row>
    <row r="425" spans="1:4" x14ac:dyDescent="0.3">
      <c r="A425" s="12">
        <v>4105304</v>
      </c>
      <c r="B425">
        <v>36.922451000000002</v>
      </c>
      <c r="C425">
        <v>-6.0783009999999997</v>
      </c>
      <c r="D425">
        <v>7447.3819044262482</v>
      </c>
    </row>
    <row r="426" spans="1:4" x14ac:dyDescent="0.3">
      <c r="A426" s="12">
        <v>4105401</v>
      </c>
      <c r="B426">
        <v>37.270845999999999</v>
      </c>
      <c r="C426">
        <v>-4.819051</v>
      </c>
      <c r="D426">
        <v>867.93944642790518</v>
      </c>
    </row>
    <row r="427" spans="1:4" x14ac:dyDescent="0.3">
      <c r="A427" s="12">
        <v>4105501</v>
      </c>
      <c r="B427">
        <v>37.651287000000004</v>
      </c>
      <c r="C427">
        <v>-5.5332929999999996</v>
      </c>
      <c r="D427">
        <v>4878.8575324956191</v>
      </c>
    </row>
    <row r="428" spans="1:4" x14ac:dyDescent="0.3">
      <c r="A428" s="12">
        <v>4105502</v>
      </c>
      <c r="B428">
        <v>37.657829</v>
      </c>
      <c r="C428">
        <v>-5.5292349999999999</v>
      </c>
      <c r="D428">
        <v>8476.3171311536516</v>
      </c>
    </row>
    <row r="429" spans="1:4" x14ac:dyDescent="0.3">
      <c r="A429" s="12">
        <v>4105503</v>
      </c>
      <c r="B429">
        <v>37.659092999999999</v>
      </c>
      <c r="C429">
        <v>-5.5343299999999997</v>
      </c>
      <c r="D429">
        <v>3294.9445661045502</v>
      </c>
    </row>
    <row r="430" spans="1:4" x14ac:dyDescent="0.3">
      <c r="A430" s="12">
        <v>4105601</v>
      </c>
      <c r="B430">
        <v>37.527847999999999</v>
      </c>
      <c r="C430">
        <v>-5.2493090000000002</v>
      </c>
      <c r="D430">
        <v>4467.8145459256357</v>
      </c>
    </row>
    <row r="431" spans="1:4" x14ac:dyDescent="0.3">
      <c r="A431" s="12">
        <v>4105701</v>
      </c>
      <c r="B431">
        <v>37.650185</v>
      </c>
      <c r="C431">
        <v>-6.4475930000000004</v>
      </c>
      <c r="D431">
        <v>291.19725525523296</v>
      </c>
    </row>
    <row r="432" spans="1:4" x14ac:dyDescent="0.3">
      <c r="A432" s="12">
        <v>4105801</v>
      </c>
      <c r="B432">
        <v>37.375990999999999</v>
      </c>
      <c r="C432">
        <v>-5.7531470000000002</v>
      </c>
      <c r="D432">
        <v>4402.2446231032018</v>
      </c>
    </row>
    <row r="433" spans="1:4" x14ac:dyDescent="0.3">
      <c r="A433" s="12">
        <v>4105802</v>
      </c>
      <c r="B433">
        <v>37.371414999999999</v>
      </c>
      <c r="C433">
        <v>-5.7514969999999996</v>
      </c>
      <c r="D433">
        <v>9430.0741854984444</v>
      </c>
    </row>
    <row r="434" spans="1:4" x14ac:dyDescent="0.3">
      <c r="A434" s="12">
        <v>4105803</v>
      </c>
      <c r="B434">
        <v>37.378239999999998</v>
      </c>
      <c r="C434">
        <v>-5.7469060000000001</v>
      </c>
      <c r="D434">
        <v>12623.657071440091</v>
      </c>
    </row>
    <row r="435" spans="1:4" x14ac:dyDescent="0.3">
      <c r="A435" s="12">
        <v>4105901</v>
      </c>
      <c r="B435">
        <v>37.344051999999998</v>
      </c>
      <c r="C435">
        <v>-6.0627599999999999</v>
      </c>
      <c r="D435">
        <v>62338.661758428301</v>
      </c>
    </row>
    <row r="436" spans="1:4" x14ac:dyDescent="0.3">
      <c r="A436" s="12">
        <v>4106001</v>
      </c>
      <c r="B436">
        <v>37.339709999999997</v>
      </c>
      <c r="C436">
        <v>-5.4189309999999997</v>
      </c>
      <c r="D436">
        <v>6031.6958528219993</v>
      </c>
    </row>
    <row r="437" spans="1:4" x14ac:dyDescent="0.3">
      <c r="A437" s="12">
        <v>4106002</v>
      </c>
      <c r="B437">
        <v>37.326439000000001</v>
      </c>
      <c r="C437">
        <v>-5.4167100000000001</v>
      </c>
      <c r="D437">
        <v>3435.3692622046174</v>
      </c>
    </row>
    <row r="438" spans="1:4" x14ac:dyDescent="0.3">
      <c r="A438" s="12">
        <v>4106003</v>
      </c>
      <c r="B438">
        <v>37.329332999999998</v>
      </c>
      <c r="C438">
        <v>-5.4187630000000002</v>
      </c>
      <c r="D438">
        <v>9498.7506234268985</v>
      </c>
    </row>
    <row r="439" spans="1:4" x14ac:dyDescent="0.3">
      <c r="A439" s="12">
        <v>4106101</v>
      </c>
      <c r="B439">
        <v>37.360812000000003</v>
      </c>
      <c r="C439">
        <v>-4.961246</v>
      </c>
      <c r="D439">
        <v>2175.7649189080485</v>
      </c>
    </row>
    <row r="440" spans="1:4" x14ac:dyDescent="0.3">
      <c r="A440" s="12">
        <v>4106201</v>
      </c>
      <c r="B440">
        <v>37.117663999999998</v>
      </c>
      <c r="C440">
        <v>-4.933751</v>
      </c>
      <c r="D440">
        <v>2293.0904361261569</v>
      </c>
    </row>
    <row r="441" spans="1:4" x14ac:dyDescent="0.3">
      <c r="A441" s="12">
        <v>4106301</v>
      </c>
      <c r="B441">
        <v>37.151138000000003</v>
      </c>
      <c r="C441">
        <v>-5.7242749999999996</v>
      </c>
      <c r="D441">
        <v>3387.122163998104</v>
      </c>
    </row>
    <row r="442" spans="1:4" x14ac:dyDescent="0.3">
      <c r="A442" s="12">
        <v>4106401</v>
      </c>
      <c r="B442">
        <v>36.989432000000001</v>
      </c>
      <c r="C442">
        <v>-5.5725439999999997</v>
      </c>
      <c r="D442">
        <v>1588.8807053581943</v>
      </c>
    </row>
    <row r="443" spans="1:4" x14ac:dyDescent="0.3">
      <c r="A443" s="12">
        <v>4106402</v>
      </c>
      <c r="B443">
        <v>36.994084999999998</v>
      </c>
      <c r="C443">
        <v>-5.5550560000000004</v>
      </c>
      <c r="D443">
        <v>3107.0170163006287</v>
      </c>
    </row>
    <row r="444" spans="1:4" x14ac:dyDescent="0.3">
      <c r="A444" s="12">
        <v>4106403</v>
      </c>
      <c r="B444">
        <v>37.005074999999998</v>
      </c>
      <c r="C444">
        <v>-5.5464120000000001</v>
      </c>
      <c r="D444">
        <v>1595.5534519195533</v>
      </c>
    </row>
    <row r="445" spans="1:4" x14ac:dyDescent="0.3">
      <c r="A445" s="12">
        <v>4106501</v>
      </c>
      <c r="B445">
        <v>37.125864999999997</v>
      </c>
      <c r="C445">
        <v>-5.4553149999999997</v>
      </c>
      <c r="D445">
        <v>6957.6940886625134</v>
      </c>
    </row>
    <row r="446" spans="1:4" x14ac:dyDescent="0.3">
      <c r="A446" s="12">
        <v>4106502</v>
      </c>
      <c r="B446">
        <v>37.121946000000001</v>
      </c>
      <c r="C446">
        <v>-5.4560899999999997</v>
      </c>
      <c r="D446">
        <v>8347.3104594925153</v>
      </c>
    </row>
    <row r="447" spans="1:4" x14ac:dyDescent="0.3">
      <c r="A447" s="12">
        <v>4106503</v>
      </c>
      <c r="B447">
        <v>37.124392999999998</v>
      </c>
      <c r="C447">
        <v>-5.4495079999999998</v>
      </c>
      <c r="D447">
        <v>5743.8951689212863</v>
      </c>
    </row>
    <row r="448" spans="1:4" x14ac:dyDescent="0.3">
      <c r="A448" s="12">
        <v>4106504</v>
      </c>
      <c r="B448">
        <v>37.119599000000001</v>
      </c>
      <c r="C448">
        <v>-5.4521920000000001</v>
      </c>
      <c r="D448">
        <v>3662.1621821820645</v>
      </c>
    </row>
    <row r="449" spans="1:4" x14ac:dyDescent="0.3">
      <c r="A449" s="12">
        <v>4106505</v>
      </c>
      <c r="B449">
        <v>37.114100000000001</v>
      </c>
      <c r="C449">
        <v>-5.4265699999999999</v>
      </c>
      <c r="D449">
        <v>1252.1336393539816</v>
      </c>
    </row>
    <row r="450" spans="1:4" x14ac:dyDescent="0.3">
      <c r="A450" s="12">
        <v>4106601</v>
      </c>
      <c r="B450">
        <v>37.920827000000003</v>
      </c>
      <c r="C450">
        <v>-5.4656960000000003</v>
      </c>
      <c r="D450">
        <v>632.5598847688218</v>
      </c>
    </row>
    <row r="451" spans="1:4" x14ac:dyDescent="0.3">
      <c r="A451" s="12">
        <v>4106602</v>
      </c>
      <c r="B451">
        <v>37.949297000000001</v>
      </c>
      <c r="C451">
        <v>-5.4589629999999998</v>
      </c>
      <c r="D451">
        <v>723.95088153658958</v>
      </c>
    </row>
    <row r="452" spans="1:4" x14ac:dyDescent="0.3">
      <c r="A452" s="12">
        <v>4106701</v>
      </c>
      <c r="B452">
        <v>37.465643999999998</v>
      </c>
      <c r="C452">
        <v>-6.1544249999999998</v>
      </c>
      <c r="D452">
        <v>5095.077807891912</v>
      </c>
    </row>
    <row r="453" spans="1:4" x14ac:dyDescent="0.3">
      <c r="A453" s="12">
        <v>4106702</v>
      </c>
      <c r="B453">
        <v>37.413769000000002</v>
      </c>
      <c r="C453">
        <v>-6.154566</v>
      </c>
      <c r="D453">
        <v>3571.5252444776979</v>
      </c>
    </row>
    <row r="454" spans="1:4" x14ac:dyDescent="0.3">
      <c r="A454" s="12">
        <v>4106801</v>
      </c>
      <c r="B454">
        <v>37.246499</v>
      </c>
      <c r="C454">
        <v>-5.1050940000000002</v>
      </c>
      <c r="D454">
        <v>2923.9867234797512</v>
      </c>
    </row>
    <row r="455" spans="1:4" x14ac:dyDescent="0.3">
      <c r="A455" s="12">
        <v>4106802</v>
      </c>
      <c r="B455">
        <v>37.303232000000001</v>
      </c>
      <c r="C455">
        <v>-5.1868179999999997</v>
      </c>
      <c r="D455">
        <v>1724.2839214656747</v>
      </c>
    </row>
    <row r="456" spans="1:4" x14ac:dyDescent="0.3">
      <c r="A456" s="12">
        <v>4106803</v>
      </c>
      <c r="B456">
        <v>37.235954</v>
      </c>
      <c r="C456">
        <v>-5.1049059999999997</v>
      </c>
      <c r="D456">
        <v>2789.6343544424458</v>
      </c>
    </row>
    <row r="457" spans="1:4" x14ac:dyDescent="0.3">
      <c r="A457" s="12">
        <v>4106804</v>
      </c>
      <c r="B457">
        <v>37.178314999999998</v>
      </c>
      <c r="C457">
        <v>-5.1114300000000004</v>
      </c>
      <c r="D457">
        <v>5301.7861022916995</v>
      </c>
    </row>
    <row r="458" spans="1:4" x14ac:dyDescent="0.3">
      <c r="A458" s="12">
        <v>4106805</v>
      </c>
      <c r="B458">
        <v>37.234912000000001</v>
      </c>
      <c r="C458">
        <v>-5.1189850000000003</v>
      </c>
      <c r="D458">
        <v>3343.8226178232298</v>
      </c>
    </row>
    <row r="459" spans="1:4" x14ac:dyDescent="0.3">
      <c r="A459" s="12">
        <v>4106901</v>
      </c>
      <c r="B459">
        <v>37.161352999999998</v>
      </c>
      <c r="C459">
        <v>-5.926361</v>
      </c>
      <c r="D459">
        <v>6933.7053596442047</v>
      </c>
    </row>
    <row r="460" spans="1:4" x14ac:dyDescent="0.3">
      <c r="A460" s="12">
        <v>4106902</v>
      </c>
      <c r="B460">
        <v>37.158115000000002</v>
      </c>
      <c r="C460">
        <v>-5.9274779999999998</v>
      </c>
      <c r="D460">
        <v>6438.3386980304331</v>
      </c>
    </row>
    <row r="461" spans="1:4" x14ac:dyDescent="0.3">
      <c r="A461" s="12">
        <v>4106903</v>
      </c>
      <c r="B461">
        <v>37.161011000000002</v>
      </c>
      <c r="C461">
        <v>-5.9215540000000004</v>
      </c>
      <c r="D461">
        <v>11168.893522974689</v>
      </c>
    </row>
    <row r="462" spans="1:4" x14ac:dyDescent="0.3">
      <c r="A462" s="12">
        <v>4106904</v>
      </c>
      <c r="B462">
        <v>37.154629</v>
      </c>
      <c r="C462">
        <v>-5.9190899999999997</v>
      </c>
      <c r="D462">
        <v>10639.712976600293</v>
      </c>
    </row>
    <row r="463" spans="1:4" x14ac:dyDescent="0.3">
      <c r="A463" s="12">
        <v>4190401</v>
      </c>
      <c r="B463">
        <v>37.053068000000003</v>
      </c>
      <c r="C463">
        <v>-5.7900609999999997</v>
      </c>
      <c r="D463">
        <v>1758.9833886164481</v>
      </c>
    </row>
    <row r="464" spans="1:4" x14ac:dyDescent="0.3">
      <c r="A464" s="12">
        <v>4107001</v>
      </c>
      <c r="B464">
        <v>37.315275</v>
      </c>
      <c r="C464">
        <v>-6.0451550000000003</v>
      </c>
      <c r="D464">
        <v>12286.823742999555</v>
      </c>
    </row>
    <row r="465" spans="1:4" x14ac:dyDescent="0.3">
      <c r="A465" s="12">
        <v>4107101</v>
      </c>
      <c r="B465">
        <v>37.291296000000003</v>
      </c>
      <c r="C465">
        <v>-5.497941</v>
      </c>
      <c r="D465">
        <v>1753.7978379252463</v>
      </c>
    </row>
    <row r="466" spans="1:4" x14ac:dyDescent="0.3">
      <c r="A466" s="12">
        <v>4107102</v>
      </c>
      <c r="B466">
        <v>37.284784000000002</v>
      </c>
      <c r="C466">
        <v>-5.4904310000000001</v>
      </c>
      <c r="D466">
        <v>2678.887587496019</v>
      </c>
    </row>
    <row r="467" spans="1:4" x14ac:dyDescent="0.3">
      <c r="A467" s="12">
        <v>4107103</v>
      </c>
      <c r="B467">
        <v>37.292760000000001</v>
      </c>
      <c r="C467">
        <v>-5.4956189999999996</v>
      </c>
      <c r="D467">
        <v>1768.9267203583661</v>
      </c>
    </row>
    <row r="468" spans="1:4" x14ac:dyDescent="0.3">
      <c r="A468" s="12">
        <v>4107201</v>
      </c>
      <c r="B468">
        <v>37.201827999999999</v>
      </c>
      <c r="C468">
        <v>-4.8949600000000002</v>
      </c>
      <c r="D468">
        <v>4798.7398585138417</v>
      </c>
    </row>
    <row r="469" spans="1:4" x14ac:dyDescent="0.3">
      <c r="A469" s="12">
        <v>4107301</v>
      </c>
      <c r="B469">
        <v>37.789211999999999</v>
      </c>
      <c r="C469">
        <v>-5.7967019999999998</v>
      </c>
      <c r="D469">
        <v>1912.4793527508341</v>
      </c>
    </row>
    <row r="470" spans="1:4" x14ac:dyDescent="0.3">
      <c r="A470" s="12">
        <v>4107401</v>
      </c>
      <c r="B470">
        <v>37.731501000000002</v>
      </c>
      <c r="C470">
        <v>-5.3653360000000001</v>
      </c>
      <c r="D470">
        <v>3263.366217268323</v>
      </c>
    </row>
    <row r="471" spans="1:4" x14ac:dyDescent="0.3">
      <c r="A471" s="12">
        <v>4107501</v>
      </c>
      <c r="B471">
        <v>37.29842</v>
      </c>
      <c r="C471">
        <v>-6.3053590000000002</v>
      </c>
      <c r="D471">
        <v>13324.085281338545</v>
      </c>
    </row>
    <row r="472" spans="1:4" x14ac:dyDescent="0.3">
      <c r="A472" s="12">
        <v>4107601</v>
      </c>
      <c r="B472">
        <v>36.972935</v>
      </c>
      <c r="C472">
        <v>-5.2244469999999996</v>
      </c>
      <c r="D472">
        <v>1938.4494540176577</v>
      </c>
    </row>
    <row r="473" spans="1:4" x14ac:dyDescent="0.3">
      <c r="A473" s="12">
        <v>4107701</v>
      </c>
      <c r="B473">
        <v>37.221640999999998</v>
      </c>
      <c r="C473">
        <v>-5.308376</v>
      </c>
      <c r="D473">
        <v>2404.1022479074809</v>
      </c>
    </row>
    <row r="474" spans="1:4" x14ac:dyDescent="0.3">
      <c r="A474" s="12">
        <v>4107702</v>
      </c>
      <c r="B474">
        <v>37.222727999999996</v>
      </c>
      <c r="C474">
        <v>-5.3152489999999997</v>
      </c>
      <c r="D474">
        <v>4996.2635537918095</v>
      </c>
    </row>
    <row r="475" spans="1:4" x14ac:dyDescent="0.3">
      <c r="A475" s="12">
        <v>4107703</v>
      </c>
      <c r="B475">
        <v>37.218181000000001</v>
      </c>
      <c r="C475">
        <v>-5.3115730000000001</v>
      </c>
      <c r="D475">
        <v>2627.7243804330469</v>
      </c>
    </row>
    <row r="476" spans="1:4" x14ac:dyDescent="0.3">
      <c r="A476" s="12">
        <v>4107801</v>
      </c>
      <c r="B476">
        <v>37.777425000000001</v>
      </c>
      <c r="C476">
        <v>-5.3882389999999996</v>
      </c>
      <c r="D476">
        <v>586.57041201601999</v>
      </c>
    </row>
    <row r="477" spans="1:4" x14ac:dyDescent="0.3">
      <c r="A477" s="12">
        <v>4107802</v>
      </c>
      <c r="B477">
        <v>37.782282000000002</v>
      </c>
      <c r="C477">
        <v>-5.3909799999999999</v>
      </c>
      <c r="D477">
        <v>1961.3814013456122</v>
      </c>
    </row>
    <row r="478" spans="1:4" x14ac:dyDescent="0.3">
      <c r="A478" s="12">
        <v>4107901</v>
      </c>
      <c r="B478">
        <v>37.271895000000001</v>
      </c>
      <c r="C478">
        <v>-6.0594279999999996</v>
      </c>
      <c r="D478">
        <v>10696.166331703838</v>
      </c>
    </row>
    <row r="479" spans="1:4" x14ac:dyDescent="0.3">
      <c r="A479" s="12">
        <v>4108001</v>
      </c>
      <c r="B479">
        <v>37.949371999999997</v>
      </c>
      <c r="C479">
        <v>-6.149718</v>
      </c>
      <c r="D479">
        <v>1254.8097115702478</v>
      </c>
    </row>
    <row r="480" spans="1:4" x14ac:dyDescent="0.3">
      <c r="A480" s="12">
        <v>4108002</v>
      </c>
      <c r="B480">
        <v>37.950546000000003</v>
      </c>
      <c r="C480">
        <v>-6.0503840000000002</v>
      </c>
      <c r="D480">
        <v>3.2848421768854656</v>
      </c>
    </row>
    <row r="481" spans="1:4" x14ac:dyDescent="0.3">
      <c r="A481" s="12">
        <v>4108101</v>
      </c>
      <c r="B481">
        <v>37.485522000000003</v>
      </c>
      <c r="C481">
        <v>-5.9862840000000004</v>
      </c>
      <c r="D481">
        <v>11400.230613991369</v>
      </c>
    </row>
    <row r="482" spans="1:4" x14ac:dyDescent="0.3">
      <c r="A482" s="12">
        <v>4108102</v>
      </c>
      <c r="B482">
        <v>37.477600000000002</v>
      </c>
      <c r="C482">
        <v>-5.9449949999999996</v>
      </c>
      <c r="D482">
        <v>31124.62904631229</v>
      </c>
    </row>
    <row r="483" spans="1:4" x14ac:dyDescent="0.3">
      <c r="A483" s="12">
        <v>4108201</v>
      </c>
      <c r="B483">
        <v>37.193809999999999</v>
      </c>
      <c r="C483">
        <v>-4.7808200000000003</v>
      </c>
      <c r="D483">
        <v>3944.784964523692</v>
      </c>
    </row>
    <row r="484" spans="1:4" x14ac:dyDescent="0.3">
      <c r="A484" s="12">
        <v>4108301</v>
      </c>
      <c r="B484">
        <v>37.748531999999997</v>
      </c>
      <c r="C484">
        <v>-6.1785620000000003</v>
      </c>
      <c r="D484">
        <v>1289.7476030910036</v>
      </c>
    </row>
    <row r="485" spans="1:4" x14ac:dyDescent="0.3">
      <c r="A485" s="12">
        <v>4108401</v>
      </c>
      <c r="B485">
        <v>37.350968000000002</v>
      </c>
      <c r="C485">
        <v>-4.9924679999999997</v>
      </c>
      <c r="D485">
        <v>1906.4983030222902</v>
      </c>
    </row>
    <row r="486" spans="1:4" x14ac:dyDescent="0.3">
      <c r="A486" s="12">
        <v>4108402</v>
      </c>
      <c r="B486">
        <v>37.344749999999998</v>
      </c>
      <c r="C486">
        <v>-5.0123689999999996</v>
      </c>
      <c r="D486">
        <v>1041.4543165379775</v>
      </c>
    </row>
    <row r="487" spans="1:4" x14ac:dyDescent="0.3">
      <c r="A487" s="12">
        <v>4108501</v>
      </c>
      <c r="B487">
        <v>37.411034999999998</v>
      </c>
      <c r="C487">
        <v>-6.1190939999999996</v>
      </c>
      <c r="D487">
        <v>6586.1242382517703</v>
      </c>
    </row>
    <row r="488" spans="1:4" x14ac:dyDescent="0.3">
      <c r="A488" s="12">
        <v>4108601</v>
      </c>
      <c r="B488">
        <v>37.367646999999998</v>
      </c>
      <c r="C488">
        <v>-6.0303519999999997</v>
      </c>
      <c r="D488">
        <v>2088.2266736460101</v>
      </c>
    </row>
    <row r="489" spans="1:4" x14ac:dyDescent="0.3">
      <c r="A489" s="12">
        <v>4108602</v>
      </c>
      <c r="B489">
        <v>37.364344000000003</v>
      </c>
      <c r="C489">
        <v>-6.0257540000000001</v>
      </c>
      <c r="D489">
        <v>5692.9347497232102</v>
      </c>
    </row>
    <row r="490" spans="1:4" x14ac:dyDescent="0.3">
      <c r="A490" s="12">
        <v>4108603</v>
      </c>
      <c r="B490">
        <v>37.360376000000002</v>
      </c>
      <c r="C490">
        <v>-6.032896</v>
      </c>
      <c r="D490">
        <v>9016.7480452237305</v>
      </c>
    </row>
    <row r="491" spans="1:4" x14ac:dyDescent="0.3">
      <c r="A491" s="12">
        <v>4108604</v>
      </c>
      <c r="B491">
        <v>37.358915000000003</v>
      </c>
      <c r="C491">
        <v>-6.0323019999999996</v>
      </c>
      <c r="D491">
        <v>5626.0838324509868</v>
      </c>
    </row>
    <row r="492" spans="1:4" x14ac:dyDescent="0.3">
      <c r="A492" s="12">
        <v>4108801</v>
      </c>
      <c r="B492">
        <v>37.980468999999999</v>
      </c>
      <c r="C492">
        <v>-5.6318080000000004</v>
      </c>
      <c r="D492">
        <v>502.07871874250679</v>
      </c>
    </row>
    <row r="493" spans="1:4" x14ac:dyDescent="0.3">
      <c r="A493" s="12">
        <v>4108701</v>
      </c>
      <c r="B493">
        <v>37.386113999999999</v>
      </c>
      <c r="C493">
        <v>-6.2062179999999998</v>
      </c>
      <c r="D493">
        <v>7572.9730300505507</v>
      </c>
    </row>
    <row r="494" spans="1:4" x14ac:dyDescent="0.3">
      <c r="A494" s="12">
        <v>4108702</v>
      </c>
      <c r="B494">
        <v>37.386799000000003</v>
      </c>
      <c r="C494">
        <v>-6.1959910000000002</v>
      </c>
      <c r="D494">
        <v>6705.3228020198821</v>
      </c>
    </row>
    <row r="495" spans="1:4" x14ac:dyDescent="0.3">
      <c r="A495" s="12">
        <v>4108901</v>
      </c>
      <c r="B495">
        <v>37.444901000000002</v>
      </c>
      <c r="C495">
        <v>-6.0493300000000003</v>
      </c>
      <c r="D495">
        <v>1712.5959351805632</v>
      </c>
    </row>
    <row r="496" spans="1:4" x14ac:dyDescent="0.3">
      <c r="A496" s="12">
        <v>4108902</v>
      </c>
      <c r="B496">
        <v>37.426673000000001</v>
      </c>
      <c r="C496">
        <v>-6.0148869999999999</v>
      </c>
      <c r="D496">
        <v>6957.8683011124203</v>
      </c>
    </row>
    <row r="497" spans="1:4" x14ac:dyDescent="0.3">
      <c r="A497" s="12">
        <v>4109001</v>
      </c>
      <c r="B497">
        <v>37.074440000000003</v>
      </c>
      <c r="C497">
        <v>-5.094894</v>
      </c>
      <c r="D497">
        <v>3626.6089476946659</v>
      </c>
    </row>
    <row r="498" spans="1:4" x14ac:dyDescent="0.3">
      <c r="A498" s="12">
        <v>4109101</v>
      </c>
      <c r="B498">
        <v>37.394089000000001</v>
      </c>
      <c r="C498">
        <v>-5.9865089999999999</v>
      </c>
      <c r="D498">
        <v>86422.382136289219</v>
      </c>
    </row>
    <row r="499" spans="1:4" x14ac:dyDescent="0.3">
      <c r="A499" s="12">
        <v>4109102</v>
      </c>
      <c r="B499">
        <v>37.405158999999998</v>
      </c>
      <c r="C499">
        <v>-5.9910129999999997</v>
      </c>
      <c r="D499">
        <v>70624.401959157418</v>
      </c>
    </row>
    <row r="500" spans="1:4" x14ac:dyDescent="0.3">
      <c r="A500" s="12">
        <v>4109103</v>
      </c>
      <c r="B500">
        <v>37.390478000000002</v>
      </c>
      <c r="C500">
        <v>-5.9828520000000003</v>
      </c>
      <c r="D500">
        <v>80933.796758491459</v>
      </c>
    </row>
    <row r="501" spans="1:4" x14ac:dyDescent="0.3">
      <c r="A501" s="12">
        <v>4109104</v>
      </c>
      <c r="B501">
        <v>37.386097999999997</v>
      </c>
      <c r="C501">
        <v>-5.956188</v>
      </c>
      <c r="D501">
        <v>75700.787582585865</v>
      </c>
    </row>
    <row r="502" spans="1:4" x14ac:dyDescent="0.3">
      <c r="A502" s="12">
        <v>4109105</v>
      </c>
      <c r="B502">
        <v>37.377673000000001</v>
      </c>
      <c r="C502">
        <v>-5.9803119999999996</v>
      </c>
      <c r="D502">
        <v>73990.885483317921</v>
      </c>
    </row>
    <row r="503" spans="1:4" x14ac:dyDescent="0.3">
      <c r="A503" s="12">
        <v>4109106</v>
      </c>
      <c r="B503">
        <v>37.381034999999997</v>
      </c>
      <c r="C503">
        <v>-5.9986689999999996</v>
      </c>
      <c r="D503">
        <v>60383.397049883111</v>
      </c>
    </row>
    <row r="504" spans="1:4" x14ac:dyDescent="0.3">
      <c r="A504" s="12">
        <v>4109107</v>
      </c>
      <c r="B504">
        <v>37.403975000000003</v>
      </c>
      <c r="C504">
        <v>-5.9654790000000002</v>
      </c>
      <c r="D504">
        <v>70842.804838826385</v>
      </c>
    </row>
    <row r="505" spans="1:4" x14ac:dyDescent="0.3">
      <c r="A505" s="12">
        <v>4109108</v>
      </c>
      <c r="B505">
        <v>37.388187000000002</v>
      </c>
      <c r="C505">
        <v>-5.9678740000000001</v>
      </c>
      <c r="D505">
        <v>68969.262409506366</v>
      </c>
    </row>
    <row r="506" spans="1:4" x14ac:dyDescent="0.3">
      <c r="A506" s="12">
        <v>4109109</v>
      </c>
      <c r="B506">
        <v>37.379961999999999</v>
      </c>
      <c r="C506">
        <v>-5.9091240000000003</v>
      </c>
      <c r="D506">
        <v>121388.69284259068</v>
      </c>
    </row>
    <row r="507" spans="1:4" x14ac:dyDescent="0.3">
      <c r="A507" s="12">
        <v>4109110</v>
      </c>
      <c r="B507">
        <v>37.324478999999997</v>
      </c>
      <c r="C507">
        <v>-5.9705599999999999</v>
      </c>
      <c r="D507">
        <v>59669.055751848398</v>
      </c>
    </row>
    <row r="508" spans="1:4" x14ac:dyDescent="0.3">
      <c r="A508" s="12">
        <v>4109111</v>
      </c>
      <c r="B508">
        <v>37.344330999999997</v>
      </c>
      <c r="C508">
        <v>-6.008076</v>
      </c>
      <c r="D508">
        <v>44031.463189764887</v>
      </c>
    </row>
    <row r="509" spans="1:4" x14ac:dyDescent="0.3">
      <c r="A509" s="12">
        <v>4109201</v>
      </c>
      <c r="B509">
        <v>37.590038</v>
      </c>
      <c r="C509">
        <v>-5.7167149999999998</v>
      </c>
      <c r="D509">
        <v>4457.3888880318818</v>
      </c>
    </row>
    <row r="510" spans="1:4" x14ac:dyDescent="0.3">
      <c r="A510" s="12">
        <v>4109202</v>
      </c>
      <c r="B510">
        <v>37.608373999999998</v>
      </c>
      <c r="C510">
        <v>-5.7345750000000004</v>
      </c>
      <c r="D510">
        <v>4451.5011260403408</v>
      </c>
    </row>
    <row r="511" spans="1:4" x14ac:dyDescent="0.3">
      <c r="A511" s="12">
        <v>4109301</v>
      </c>
      <c r="B511">
        <v>37.375951999999998</v>
      </c>
      <c r="C511">
        <v>-6.0482750000000003</v>
      </c>
      <c r="D511">
        <v>38430.728125853588</v>
      </c>
    </row>
    <row r="512" spans="1:4" x14ac:dyDescent="0.3">
      <c r="A512" s="12">
        <v>4109401</v>
      </c>
      <c r="B512">
        <v>37.374192999999998</v>
      </c>
      <c r="C512">
        <v>-6.157826</v>
      </c>
      <c r="D512">
        <v>6435.2942742205423</v>
      </c>
    </row>
    <row r="513" spans="1:4" x14ac:dyDescent="0.3">
      <c r="A513" s="12">
        <v>4109402</v>
      </c>
      <c r="B513">
        <v>37.369712</v>
      </c>
      <c r="C513">
        <v>-6.1540800000000004</v>
      </c>
      <c r="D513">
        <v>3712.09164780316</v>
      </c>
    </row>
    <row r="514" spans="1:4" x14ac:dyDescent="0.3">
      <c r="A514" s="12">
        <v>4109501</v>
      </c>
      <c r="B514">
        <v>37.183644999999999</v>
      </c>
      <c r="C514">
        <v>-5.7806139999999999</v>
      </c>
      <c r="D514">
        <v>11206.957202114612</v>
      </c>
    </row>
    <row r="515" spans="1:4" x14ac:dyDescent="0.3">
      <c r="A515" s="12">
        <v>4109502</v>
      </c>
      <c r="B515">
        <v>37.179991000000001</v>
      </c>
      <c r="C515">
        <v>-5.7786179999999998</v>
      </c>
      <c r="D515">
        <v>7708.9782431262547</v>
      </c>
    </row>
    <row r="516" spans="1:4" x14ac:dyDescent="0.3">
      <c r="A516" s="12">
        <v>4109503</v>
      </c>
      <c r="B516">
        <v>37.180281999999998</v>
      </c>
      <c r="C516">
        <v>-5.7828840000000001</v>
      </c>
      <c r="D516">
        <v>8871.34140673416</v>
      </c>
    </row>
    <row r="517" spans="1:4" x14ac:dyDescent="0.3">
      <c r="A517" s="12">
        <v>4109504</v>
      </c>
      <c r="B517">
        <v>37.190975000000002</v>
      </c>
      <c r="C517">
        <v>-5.7810079999999999</v>
      </c>
      <c r="D517">
        <v>4044.7241183937449</v>
      </c>
    </row>
    <row r="518" spans="1:4" x14ac:dyDescent="0.3">
      <c r="A518" s="12">
        <v>4109505</v>
      </c>
      <c r="B518">
        <v>37.168532999999996</v>
      </c>
      <c r="C518">
        <v>-5.7975589999999997</v>
      </c>
      <c r="D518">
        <v>18634.978842870969</v>
      </c>
    </row>
    <row r="519" spans="1:4" x14ac:dyDescent="0.3">
      <c r="A519" s="12">
        <v>4109601</v>
      </c>
      <c r="B519">
        <v>37.415661999999998</v>
      </c>
      <c r="C519">
        <v>-6.0603129999999998</v>
      </c>
      <c r="D519">
        <v>9298.2482293813573</v>
      </c>
    </row>
    <row r="520" spans="1:4" x14ac:dyDescent="0.3">
      <c r="A520" s="12">
        <v>4109701</v>
      </c>
      <c r="B520">
        <v>37.249276000000002</v>
      </c>
      <c r="C520">
        <v>-6.3299339999999997</v>
      </c>
      <c r="D520">
        <v>2225.6038329734256</v>
      </c>
    </row>
    <row r="521" spans="1:4" x14ac:dyDescent="0.3">
      <c r="A521" s="12">
        <v>4109702</v>
      </c>
      <c r="B521">
        <v>37.216338999999998</v>
      </c>
      <c r="C521">
        <v>-6.3128960000000003</v>
      </c>
      <c r="D521">
        <v>1924.4599287220101</v>
      </c>
    </row>
    <row r="522" spans="1:4" x14ac:dyDescent="0.3">
      <c r="A522" s="12">
        <v>4110001</v>
      </c>
      <c r="B522">
        <v>37.071672</v>
      </c>
      <c r="C522">
        <v>-5.1854120000000004</v>
      </c>
      <c r="D522">
        <v>806.02022600225632</v>
      </c>
    </row>
    <row r="523" spans="1:4" x14ac:dyDescent="0.3">
      <c r="A523" s="12">
        <v>4109801</v>
      </c>
      <c r="B523">
        <v>37.394832999999998</v>
      </c>
      <c r="C523">
        <v>-6.1390650000000004</v>
      </c>
      <c r="D523">
        <v>6543.2169022859753</v>
      </c>
    </row>
    <row r="524" spans="1:4" x14ac:dyDescent="0.3">
      <c r="A524" s="12">
        <v>4109901</v>
      </c>
      <c r="B524">
        <v>37.665930000000003</v>
      </c>
      <c r="C524">
        <v>-5.7170940000000003</v>
      </c>
      <c r="D524">
        <v>1505.872890471046</v>
      </c>
    </row>
    <row r="525" spans="1:4" x14ac:dyDescent="0.3">
      <c r="A525" s="12">
        <v>4109902</v>
      </c>
      <c r="B525">
        <v>37.650466999999999</v>
      </c>
      <c r="C525">
        <v>-5.7169150000000002</v>
      </c>
      <c r="D525">
        <v>1323.9459498476326</v>
      </c>
    </row>
    <row r="526" spans="1:4" x14ac:dyDescent="0.3">
      <c r="A526" s="12">
        <v>4109903</v>
      </c>
      <c r="B526">
        <v>37.659773999999999</v>
      </c>
      <c r="C526">
        <v>-5.7147889999999997</v>
      </c>
      <c r="D526">
        <v>1522.7395227781597</v>
      </c>
    </row>
    <row r="527" spans="1:4" x14ac:dyDescent="0.3">
      <c r="A527" s="12">
        <v>4110101</v>
      </c>
      <c r="B527">
        <v>37.589503999999998</v>
      </c>
      <c r="C527">
        <v>-5.8719150000000004</v>
      </c>
      <c r="D527">
        <v>6945.6372632399025</v>
      </c>
    </row>
    <row r="528" spans="1:4" x14ac:dyDescent="0.3">
      <c r="A528" s="12">
        <v>4110201</v>
      </c>
      <c r="B528">
        <v>37.385826000000002</v>
      </c>
      <c r="C528">
        <v>-5.721635</v>
      </c>
      <c r="D528">
        <v>7080.8650905548229</v>
      </c>
    </row>
    <row r="529" spans="1:4" x14ac:dyDescent="0.3">
      <c r="A529" s="12">
        <v>4110202</v>
      </c>
      <c r="B529">
        <v>37.390895999999998</v>
      </c>
      <c r="C529">
        <v>-5.7134619999999998</v>
      </c>
      <c r="D529">
        <v>1517.9323000312399</v>
      </c>
    </row>
    <row r="530" spans="1:4" x14ac:dyDescent="0.3">
      <c r="A530" s="12">
        <v>4110203</v>
      </c>
      <c r="B530">
        <v>37.392296000000002</v>
      </c>
      <c r="C530">
        <v>-5.7203670000000004</v>
      </c>
      <c r="D530">
        <v>10258.768535821906</v>
      </c>
    </row>
    <row r="531" spans="1:4" x14ac:dyDescent="0.3">
      <c r="A531" s="12">
        <v>1100101</v>
      </c>
      <c r="B531">
        <v>36.443765999999997</v>
      </c>
      <c r="C531">
        <v>-5.6938940000000002</v>
      </c>
      <c r="D531">
        <v>2249.7427908307668</v>
      </c>
    </row>
    <row r="532" spans="1:4" x14ac:dyDescent="0.3">
      <c r="A532" s="12">
        <v>1100102</v>
      </c>
      <c r="B532">
        <v>36.460413000000003</v>
      </c>
      <c r="C532">
        <v>-5.7282580000000003</v>
      </c>
      <c r="D532">
        <v>2581.2481025319098</v>
      </c>
    </row>
    <row r="533" spans="1:4" x14ac:dyDescent="0.3">
      <c r="A533" s="12">
        <v>1100201</v>
      </c>
      <c r="B533">
        <v>36.902569999999997</v>
      </c>
      <c r="C533">
        <v>-5.1702120000000003</v>
      </c>
      <c r="D533">
        <v>4242.6941563264872</v>
      </c>
    </row>
    <row r="534" spans="1:4" x14ac:dyDescent="0.3">
      <c r="A534" s="12">
        <v>1100301</v>
      </c>
      <c r="B534">
        <v>36.655265</v>
      </c>
      <c r="C534">
        <v>-5.6442519999999998</v>
      </c>
      <c r="D534">
        <v>1424.6747018367032</v>
      </c>
    </row>
    <row r="535" spans="1:4" x14ac:dyDescent="0.3">
      <c r="A535" s="12">
        <v>1100401</v>
      </c>
      <c r="B535">
        <v>36.132022999999997</v>
      </c>
      <c r="C535">
        <v>-5.4484139999999996</v>
      </c>
      <c r="D535">
        <v>39687.245738673184</v>
      </c>
    </row>
    <row r="536" spans="1:4" x14ac:dyDescent="0.3">
      <c r="A536" s="12">
        <v>1100402</v>
      </c>
      <c r="B536">
        <v>36.136837999999997</v>
      </c>
      <c r="C536">
        <v>-5.4400199999999996</v>
      </c>
      <c r="D536">
        <v>33651.376330106643</v>
      </c>
    </row>
    <row r="537" spans="1:4" x14ac:dyDescent="0.3">
      <c r="A537" s="12">
        <v>1100403</v>
      </c>
      <c r="B537">
        <v>36.129221999999999</v>
      </c>
      <c r="C537">
        <v>-5.4489850000000004</v>
      </c>
      <c r="D537">
        <v>19082.889174544507</v>
      </c>
    </row>
    <row r="538" spans="1:4" x14ac:dyDescent="0.3">
      <c r="A538" s="12">
        <v>1100404</v>
      </c>
      <c r="B538">
        <v>36.131509999999999</v>
      </c>
      <c r="C538">
        <v>-5.4507459999999996</v>
      </c>
      <c r="D538">
        <v>39227.071996163279</v>
      </c>
    </row>
    <row r="539" spans="1:4" x14ac:dyDescent="0.3">
      <c r="A539" s="12">
        <v>1100501</v>
      </c>
      <c r="B539">
        <v>36.877774000000002</v>
      </c>
      <c r="C539">
        <v>-5.409446</v>
      </c>
      <c r="D539">
        <v>3791.2786305741161</v>
      </c>
    </row>
    <row r="540" spans="1:4" x14ac:dyDescent="0.3">
      <c r="A540" s="12">
        <v>1100502</v>
      </c>
      <c r="B540">
        <v>36.891292</v>
      </c>
      <c r="C540">
        <v>-5.4340909999999996</v>
      </c>
      <c r="D540">
        <v>880.5434066586663</v>
      </c>
    </row>
    <row r="541" spans="1:4" x14ac:dyDescent="0.3">
      <c r="A541" s="12">
        <v>1100601</v>
      </c>
      <c r="B541">
        <v>36.748241999999998</v>
      </c>
      <c r="C541">
        <v>-5.8055019999999997</v>
      </c>
      <c r="D541">
        <v>5082.2166187113507</v>
      </c>
    </row>
    <row r="542" spans="1:4" x14ac:dyDescent="0.3">
      <c r="A542" s="12">
        <v>1100602</v>
      </c>
      <c r="B542">
        <v>36.750652000000002</v>
      </c>
      <c r="C542">
        <v>-5.8046920000000002</v>
      </c>
      <c r="D542">
        <v>12532.397370404853</v>
      </c>
    </row>
    <row r="543" spans="1:4" x14ac:dyDescent="0.3">
      <c r="A543" s="12">
        <v>1100603</v>
      </c>
      <c r="B543">
        <v>36.789206999999998</v>
      </c>
      <c r="C543">
        <v>-5.8475830000000002</v>
      </c>
      <c r="D543">
        <v>4708.7605331888735</v>
      </c>
    </row>
    <row r="544" spans="1:4" x14ac:dyDescent="0.3">
      <c r="A544" s="12">
        <v>1100604</v>
      </c>
      <c r="B544">
        <v>36.756397</v>
      </c>
      <c r="C544">
        <v>-5.7725590000000002</v>
      </c>
      <c r="D544">
        <v>5177.4075129959365</v>
      </c>
    </row>
    <row r="545" spans="1:4" x14ac:dyDescent="0.3">
      <c r="A545" s="12">
        <v>1100701</v>
      </c>
      <c r="B545">
        <v>36.193486</v>
      </c>
      <c r="C545">
        <v>-5.9200049999999997</v>
      </c>
      <c r="D545">
        <v>5796.3465972396189</v>
      </c>
    </row>
    <row r="546" spans="1:4" x14ac:dyDescent="0.3">
      <c r="A546" s="12">
        <v>1100702</v>
      </c>
      <c r="B546">
        <v>36.191335000000002</v>
      </c>
      <c r="C546">
        <v>-5.9228880000000004</v>
      </c>
      <c r="D546">
        <v>7595.2866913697299</v>
      </c>
    </row>
    <row r="547" spans="1:4" x14ac:dyDescent="0.3">
      <c r="A547" s="12">
        <v>1100703</v>
      </c>
      <c r="B547">
        <v>36.185763999999999</v>
      </c>
      <c r="C547">
        <v>-5.9138700000000002</v>
      </c>
      <c r="D547">
        <v>3177.5158686490154</v>
      </c>
    </row>
    <row r="548" spans="1:4" x14ac:dyDescent="0.3">
      <c r="A548" s="12">
        <v>1100704</v>
      </c>
      <c r="B548">
        <v>36.199344000000004</v>
      </c>
      <c r="C548">
        <v>-5.8606230000000004</v>
      </c>
      <c r="D548">
        <v>2714.5868182511226</v>
      </c>
    </row>
    <row r="549" spans="1:4" x14ac:dyDescent="0.3">
      <c r="A549" s="12">
        <v>1100801</v>
      </c>
      <c r="B549">
        <v>36.228588000000002</v>
      </c>
      <c r="C549">
        <v>-5.582217</v>
      </c>
      <c r="D549">
        <v>19739.734471572516</v>
      </c>
    </row>
    <row r="550" spans="1:4" x14ac:dyDescent="0.3">
      <c r="A550" s="12">
        <v>1100802</v>
      </c>
      <c r="B550">
        <v>36.181440000000002</v>
      </c>
      <c r="C550">
        <v>-5.4300160000000002</v>
      </c>
      <c r="D550">
        <v>2123.4708448042347</v>
      </c>
    </row>
    <row r="551" spans="1:4" x14ac:dyDescent="0.3">
      <c r="A551" s="12">
        <v>1100803</v>
      </c>
      <c r="B551">
        <v>36.213051999999998</v>
      </c>
      <c r="C551">
        <v>-5.4654569999999998</v>
      </c>
      <c r="D551">
        <v>6318.251919002767</v>
      </c>
    </row>
    <row r="552" spans="1:4" x14ac:dyDescent="0.3">
      <c r="A552" s="12">
        <v>1190101</v>
      </c>
      <c r="B552">
        <v>36.341410000000003</v>
      </c>
      <c r="C552">
        <v>-5.805002</v>
      </c>
      <c r="D552">
        <v>6869.8613941048106</v>
      </c>
    </row>
    <row r="553" spans="1:4" x14ac:dyDescent="0.3">
      <c r="A553" s="12">
        <v>1100901</v>
      </c>
      <c r="B553">
        <v>36.712378999999999</v>
      </c>
      <c r="C553">
        <v>-5.4525350000000001</v>
      </c>
      <c r="D553">
        <v>736.90351013479926</v>
      </c>
    </row>
    <row r="554" spans="1:4" x14ac:dyDescent="0.3">
      <c r="A554" s="12">
        <v>1101001</v>
      </c>
      <c r="B554">
        <v>36.813890999999998</v>
      </c>
      <c r="C554">
        <v>-5.7437339999999999</v>
      </c>
      <c r="D554">
        <v>2391.0399097665268</v>
      </c>
    </row>
    <row r="555" spans="1:4" x14ac:dyDescent="0.3">
      <c r="A555" s="12">
        <v>1101002</v>
      </c>
      <c r="B555">
        <v>36.812865000000002</v>
      </c>
      <c r="C555">
        <v>-5.7476269999999996</v>
      </c>
      <c r="D555">
        <v>3305.0637147224957</v>
      </c>
    </row>
    <row r="556" spans="1:4" x14ac:dyDescent="0.3">
      <c r="A556" s="12">
        <v>1101003</v>
      </c>
      <c r="B556">
        <v>36.856437</v>
      </c>
      <c r="C556">
        <v>-5.694871</v>
      </c>
      <c r="D556">
        <v>755.73986304341167</v>
      </c>
    </row>
    <row r="557" spans="1:4" x14ac:dyDescent="0.3">
      <c r="A557" s="12">
        <v>1101101</v>
      </c>
      <c r="B557">
        <v>36.753700000000002</v>
      </c>
      <c r="C557">
        <v>-5.5107689999999998</v>
      </c>
      <c r="D557">
        <v>2418.0516895932769</v>
      </c>
    </row>
    <row r="558" spans="1:4" x14ac:dyDescent="0.3">
      <c r="A558" s="12">
        <v>1101201</v>
      </c>
      <c r="B558">
        <v>36.535981</v>
      </c>
      <c r="C558">
        <v>-6.3005760000000004</v>
      </c>
      <c r="D558">
        <v>6660.5786990699762</v>
      </c>
    </row>
    <row r="559" spans="1:4" x14ac:dyDescent="0.3">
      <c r="A559" s="12">
        <v>1101202</v>
      </c>
      <c r="B559">
        <v>36.533532000000001</v>
      </c>
      <c r="C559">
        <v>-6.2989980000000001</v>
      </c>
      <c r="D559">
        <v>6475.5780947390795</v>
      </c>
    </row>
    <row r="560" spans="1:4" x14ac:dyDescent="0.3">
      <c r="A560" s="12">
        <v>1101203</v>
      </c>
      <c r="B560">
        <v>36.534148000000002</v>
      </c>
      <c r="C560">
        <v>-6.3006669999999998</v>
      </c>
      <c r="D560">
        <v>6496.6080758650714</v>
      </c>
    </row>
    <row r="561" spans="1:4" x14ac:dyDescent="0.3">
      <c r="A561" s="12">
        <v>1101204</v>
      </c>
      <c r="B561">
        <v>36.530318000000001</v>
      </c>
      <c r="C561">
        <v>-6.3023910000000001</v>
      </c>
      <c r="D561">
        <v>3696.7112947494702</v>
      </c>
    </row>
    <row r="562" spans="1:4" x14ac:dyDescent="0.3">
      <c r="A562" s="12">
        <v>1101205</v>
      </c>
      <c r="B562">
        <v>36.531317000000001</v>
      </c>
      <c r="C562">
        <v>-6.2988479999999996</v>
      </c>
      <c r="D562">
        <v>4378.6545023989947</v>
      </c>
    </row>
    <row r="563" spans="1:4" x14ac:dyDescent="0.3">
      <c r="A563" s="12">
        <v>1101206</v>
      </c>
      <c r="B563">
        <v>36.530532999999998</v>
      </c>
      <c r="C563">
        <v>-6.2956580000000004</v>
      </c>
      <c r="D563">
        <v>4110.0235130876363</v>
      </c>
    </row>
    <row r="564" spans="1:4" x14ac:dyDescent="0.3">
      <c r="A564" s="12">
        <v>1101207</v>
      </c>
      <c r="B564">
        <v>36.530016000000003</v>
      </c>
      <c r="C564">
        <v>-6.2870369999999998</v>
      </c>
      <c r="D564">
        <v>3052.1235831028371</v>
      </c>
    </row>
    <row r="565" spans="1:4" x14ac:dyDescent="0.3">
      <c r="A565" s="12">
        <v>1101208</v>
      </c>
      <c r="B565">
        <v>36.523164999999999</v>
      </c>
      <c r="C565">
        <v>-6.2878210000000001</v>
      </c>
      <c r="D565">
        <v>31557.334562992462</v>
      </c>
    </row>
    <row r="566" spans="1:4" x14ac:dyDescent="0.3">
      <c r="A566" s="12">
        <v>1101209</v>
      </c>
      <c r="B566">
        <v>36.513362999999998</v>
      </c>
      <c r="C566">
        <v>-6.2831780000000004</v>
      </c>
      <c r="D566">
        <v>25529.718626051232</v>
      </c>
    </row>
    <row r="567" spans="1:4" x14ac:dyDescent="0.3">
      <c r="A567" s="12">
        <v>1101210</v>
      </c>
      <c r="B567">
        <v>36.505968000000003</v>
      </c>
      <c r="C567">
        <v>-6.2783259999999999</v>
      </c>
      <c r="D567">
        <v>32197.907437438407</v>
      </c>
    </row>
    <row r="568" spans="1:4" x14ac:dyDescent="0.3">
      <c r="A568" s="12">
        <v>1101301</v>
      </c>
      <c r="B568">
        <v>36.311818000000002</v>
      </c>
      <c r="C568">
        <v>-5.4649960000000002</v>
      </c>
      <c r="D568">
        <v>3128.7656232085324</v>
      </c>
    </row>
    <row r="569" spans="1:4" x14ac:dyDescent="0.3">
      <c r="A569" s="12">
        <v>1101501</v>
      </c>
      <c r="B569">
        <v>36.421380999999997</v>
      </c>
      <c r="C569">
        <v>-6.1504589999999997</v>
      </c>
      <c r="D569">
        <v>17081.42348440591</v>
      </c>
    </row>
    <row r="570" spans="1:4" x14ac:dyDescent="0.3">
      <c r="A570" s="12">
        <v>1101502</v>
      </c>
      <c r="B570">
        <v>36.415405999999997</v>
      </c>
      <c r="C570">
        <v>-6.1497229999999998</v>
      </c>
      <c r="D570">
        <v>8991.3840209063055</v>
      </c>
    </row>
    <row r="571" spans="1:4" x14ac:dyDescent="0.3">
      <c r="A571" s="12">
        <v>1101503</v>
      </c>
      <c r="B571">
        <v>36.415641999999998</v>
      </c>
      <c r="C571">
        <v>-6.1427769999999997</v>
      </c>
      <c r="D571">
        <v>9190.1907449756709</v>
      </c>
    </row>
    <row r="572" spans="1:4" x14ac:dyDescent="0.3">
      <c r="A572" s="12">
        <v>1101504</v>
      </c>
      <c r="B572">
        <v>36.423479999999998</v>
      </c>
      <c r="C572">
        <v>-6.1459830000000002</v>
      </c>
      <c r="D572">
        <v>22028.933533758463</v>
      </c>
    </row>
    <row r="573" spans="1:4" x14ac:dyDescent="0.3">
      <c r="A573" s="12">
        <v>1101505</v>
      </c>
      <c r="B573">
        <v>36.352390999999997</v>
      </c>
      <c r="C573">
        <v>-6.1613990000000003</v>
      </c>
      <c r="D573">
        <v>33842.681587799838</v>
      </c>
    </row>
    <row r="574" spans="1:4" x14ac:dyDescent="0.3">
      <c r="A574" s="12">
        <v>1101601</v>
      </c>
      <c r="B574">
        <v>36.742513000000002</v>
      </c>
      <c r="C574">
        <v>-6.4326040000000004</v>
      </c>
      <c r="D574">
        <v>1638.3337928065491</v>
      </c>
    </row>
    <row r="575" spans="1:4" x14ac:dyDescent="0.3">
      <c r="A575" s="12">
        <v>1101602</v>
      </c>
      <c r="B575">
        <v>36.739389000000003</v>
      </c>
      <c r="C575">
        <v>-6.4325570000000001</v>
      </c>
      <c r="D575">
        <v>7081.3456798338348</v>
      </c>
    </row>
    <row r="576" spans="1:4" x14ac:dyDescent="0.3">
      <c r="A576" s="12">
        <v>1101603</v>
      </c>
      <c r="B576">
        <v>36.727924000000002</v>
      </c>
      <c r="C576">
        <v>-6.3985440000000002</v>
      </c>
      <c r="D576">
        <v>7280.0114684657228</v>
      </c>
    </row>
    <row r="577" spans="1:4" x14ac:dyDescent="0.3">
      <c r="A577" s="12">
        <v>1101401</v>
      </c>
      <c r="B577">
        <v>36.274977</v>
      </c>
      <c r="C577">
        <v>-6.0919059999999998</v>
      </c>
      <c r="D577">
        <v>10389.808073763657</v>
      </c>
    </row>
    <row r="578" spans="1:4" x14ac:dyDescent="0.3">
      <c r="A578" s="12">
        <v>1101402</v>
      </c>
      <c r="B578">
        <v>36.280420999999997</v>
      </c>
      <c r="C578">
        <v>-6.0880919999999996</v>
      </c>
      <c r="D578">
        <v>7637.4619861849851</v>
      </c>
    </row>
    <row r="579" spans="1:4" x14ac:dyDescent="0.3">
      <c r="A579" s="12">
        <v>1101403</v>
      </c>
      <c r="B579">
        <v>36.272095999999998</v>
      </c>
      <c r="C579">
        <v>-6.0886659999999999</v>
      </c>
      <c r="D579">
        <v>5902.6288640259172</v>
      </c>
    </row>
    <row r="580" spans="1:4" x14ac:dyDescent="0.3">
      <c r="A580" s="12">
        <v>1101701</v>
      </c>
      <c r="B580">
        <v>36.874268999999998</v>
      </c>
      <c r="C580">
        <v>-5.8066490000000002</v>
      </c>
      <c r="D580">
        <v>3578.9801150376306</v>
      </c>
    </row>
    <row r="581" spans="1:4" x14ac:dyDescent="0.3">
      <c r="A581" s="12">
        <v>1101801</v>
      </c>
      <c r="B581">
        <v>36.846362999999997</v>
      </c>
      <c r="C581">
        <v>-5.3451409999999999</v>
      </c>
      <c r="D581">
        <v>1602.4134183635329</v>
      </c>
    </row>
    <row r="582" spans="1:4" x14ac:dyDescent="0.3">
      <c r="A582" s="12">
        <v>1101901</v>
      </c>
      <c r="B582">
        <v>36.760108000000002</v>
      </c>
      <c r="C582">
        <v>-5.3712340000000003</v>
      </c>
      <c r="D582">
        <v>1845.7353518632303</v>
      </c>
    </row>
    <row r="583" spans="1:4" x14ac:dyDescent="0.3">
      <c r="A583" s="12">
        <v>1102001</v>
      </c>
      <c r="B583">
        <v>36.685319</v>
      </c>
      <c r="C583">
        <v>-6.1448029999999996</v>
      </c>
      <c r="D583">
        <v>4571.5338883701743</v>
      </c>
    </row>
    <row r="584" spans="1:4" x14ac:dyDescent="0.3">
      <c r="A584" s="12">
        <v>1102002</v>
      </c>
      <c r="B584">
        <v>36.690260000000002</v>
      </c>
      <c r="C584">
        <v>-6.1375200000000003</v>
      </c>
      <c r="D584">
        <v>28685.448073865944</v>
      </c>
    </row>
    <row r="585" spans="1:4" x14ac:dyDescent="0.3">
      <c r="A585" s="12">
        <v>1102003</v>
      </c>
      <c r="B585">
        <v>36.681818</v>
      </c>
      <c r="C585">
        <v>-6.1537660000000001</v>
      </c>
      <c r="D585">
        <v>17533.661102765705</v>
      </c>
    </row>
    <row r="586" spans="1:4" x14ac:dyDescent="0.3">
      <c r="A586" s="12">
        <v>1102004</v>
      </c>
      <c r="B586">
        <v>36.693125000000002</v>
      </c>
      <c r="C586">
        <v>-6.1271620000000002</v>
      </c>
      <c r="D586">
        <v>34309.384992950574</v>
      </c>
    </row>
    <row r="587" spans="1:4" x14ac:dyDescent="0.3">
      <c r="A587" s="12">
        <v>1102005</v>
      </c>
      <c r="B587">
        <v>36.703006000000002</v>
      </c>
      <c r="C587">
        <v>-6.1440409999999996</v>
      </c>
      <c r="D587">
        <v>13052.466814076035</v>
      </c>
    </row>
    <row r="588" spans="1:4" x14ac:dyDescent="0.3">
      <c r="A588" s="12">
        <v>1102006</v>
      </c>
      <c r="B588">
        <v>36.687486999999997</v>
      </c>
      <c r="C588">
        <v>-6.1249890000000002</v>
      </c>
      <c r="D588">
        <v>72324.186786627353</v>
      </c>
    </row>
    <row r="589" spans="1:4" x14ac:dyDescent="0.3">
      <c r="A589" s="12">
        <v>1102007</v>
      </c>
      <c r="B589">
        <v>36.673955999999997</v>
      </c>
      <c r="C589">
        <v>-6.1426730000000003</v>
      </c>
      <c r="D589">
        <v>25029.695178691243</v>
      </c>
    </row>
    <row r="590" spans="1:4" x14ac:dyDescent="0.3">
      <c r="A590" s="12">
        <v>1102008</v>
      </c>
      <c r="B590">
        <v>36.647615999999999</v>
      </c>
      <c r="C590">
        <v>-6.1339290000000002</v>
      </c>
      <c r="D590">
        <v>3199.7620804829057</v>
      </c>
    </row>
    <row r="591" spans="1:4" x14ac:dyDescent="0.3">
      <c r="A591" s="12">
        <v>1102009</v>
      </c>
      <c r="B591">
        <v>36.800339999999998</v>
      </c>
      <c r="C591">
        <v>-6.0818500000000002</v>
      </c>
      <c r="D591">
        <v>15837.554475710558</v>
      </c>
    </row>
    <row r="592" spans="1:4" x14ac:dyDescent="0.3">
      <c r="A592" s="12">
        <v>1102010</v>
      </c>
      <c r="B592">
        <v>36.603397999999999</v>
      </c>
      <c r="C592">
        <v>-6.081175</v>
      </c>
      <c r="D592">
        <v>2886.7206318745489</v>
      </c>
    </row>
    <row r="593" spans="1:4" x14ac:dyDescent="0.3">
      <c r="A593" s="12">
        <v>1102101</v>
      </c>
      <c r="B593">
        <v>36.430919000000003</v>
      </c>
      <c r="C593">
        <v>-5.4505929999999996</v>
      </c>
      <c r="D593">
        <v>2654.7047409709508</v>
      </c>
    </row>
    <row r="594" spans="1:4" x14ac:dyDescent="0.3">
      <c r="A594" s="12">
        <v>1102102</v>
      </c>
      <c r="B594">
        <v>36.396745000000003</v>
      </c>
      <c r="C594">
        <v>-5.4193939999999996</v>
      </c>
      <c r="D594">
        <v>2216.701245831312</v>
      </c>
    </row>
    <row r="595" spans="1:4" x14ac:dyDescent="0.3">
      <c r="A595" s="12">
        <v>1102103</v>
      </c>
      <c r="B595">
        <v>36.463182000000003</v>
      </c>
      <c r="C595">
        <v>-5.4093859999999996</v>
      </c>
      <c r="D595">
        <v>1439.9074580899858</v>
      </c>
    </row>
    <row r="596" spans="1:4" x14ac:dyDescent="0.3">
      <c r="A596" s="12">
        <v>1102201</v>
      </c>
      <c r="B596">
        <v>36.163133999999999</v>
      </c>
      <c r="C596">
        <v>-5.349386</v>
      </c>
      <c r="D596">
        <v>8414.6993360044089</v>
      </c>
    </row>
    <row r="597" spans="1:4" x14ac:dyDescent="0.3">
      <c r="A597" s="12">
        <v>1102202</v>
      </c>
      <c r="B597">
        <v>36.167321999999999</v>
      </c>
      <c r="C597">
        <v>-5.3415910000000002</v>
      </c>
      <c r="D597">
        <v>11017.774964470003</v>
      </c>
    </row>
    <row r="598" spans="1:4" x14ac:dyDescent="0.3">
      <c r="A598" s="12">
        <v>1102203</v>
      </c>
      <c r="B598">
        <v>36.165452000000002</v>
      </c>
      <c r="C598">
        <v>-5.3492499999999996</v>
      </c>
      <c r="D598">
        <v>16522.958740445727</v>
      </c>
    </row>
    <row r="599" spans="1:4" x14ac:dyDescent="0.3">
      <c r="A599" s="12">
        <v>1102204</v>
      </c>
      <c r="B599">
        <v>36.164622999999999</v>
      </c>
      <c r="C599">
        <v>-5.3549709999999999</v>
      </c>
      <c r="D599">
        <v>5267.9131829189582</v>
      </c>
    </row>
    <row r="600" spans="1:4" x14ac:dyDescent="0.3">
      <c r="A600" s="12">
        <v>1102205</v>
      </c>
      <c r="B600">
        <v>36.167175999999998</v>
      </c>
      <c r="C600">
        <v>-5.3632249999999999</v>
      </c>
      <c r="D600">
        <v>5074.9865896776355</v>
      </c>
    </row>
    <row r="601" spans="1:4" x14ac:dyDescent="0.3">
      <c r="A601" s="12">
        <v>1102206</v>
      </c>
      <c r="B601">
        <v>36.177827999999998</v>
      </c>
      <c r="C601">
        <v>-5.3373900000000001</v>
      </c>
      <c r="D601">
        <v>4765.1587216843773</v>
      </c>
    </row>
    <row r="602" spans="1:4" x14ac:dyDescent="0.3">
      <c r="A602" s="12">
        <v>1102207</v>
      </c>
      <c r="B602">
        <v>36.189667999999998</v>
      </c>
      <c r="C602">
        <v>-5.3404639999999999</v>
      </c>
      <c r="D602">
        <v>10601.274930597185</v>
      </c>
    </row>
    <row r="603" spans="1:4" x14ac:dyDescent="0.3">
      <c r="A603" s="12">
        <v>1102301</v>
      </c>
      <c r="B603">
        <v>36.454583</v>
      </c>
      <c r="C603">
        <v>-5.9271890000000003</v>
      </c>
      <c r="D603">
        <v>617.65095005682383</v>
      </c>
    </row>
    <row r="604" spans="1:4" x14ac:dyDescent="0.3">
      <c r="A604" s="12">
        <v>1102302</v>
      </c>
      <c r="B604">
        <v>36.458798000000002</v>
      </c>
      <c r="C604">
        <v>-5.9260299999999999</v>
      </c>
      <c r="D604">
        <v>686.63849708760574</v>
      </c>
    </row>
    <row r="605" spans="1:4" x14ac:dyDescent="0.3">
      <c r="A605" s="12">
        <v>1102303</v>
      </c>
      <c r="B605">
        <v>36.457138</v>
      </c>
      <c r="C605">
        <v>-5.9282789999999999</v>
      </c>
      <c r="D605">
        <v>657.76696526914066</v>
      </c>
    </row>
    <row r="606" spans="1:4" x14ac:dyDescent="0.3">
      <c r="A606" s="12">
        <v>1102304</v>
      </c>
      <c r="B606">
        <v>36.457945000000002</v>
      </c>
      <c r="C606">
        <v>-5.9320339999999998</v>
      </c>
      <c r="D606">
        <v>728.96342109976615</v>
      </c>
    </row>
    <row r="607" spans="1:4" x14ac:dyDescent="0.3">
      <c r="A607" s="12">
        <v>1102305</v>
      </c>
      <c r="B607">
        <v>36.463320000000003</v>
      </c>
      <c r="C607">
        <v>-5.9295020000000003</v>
      </c>
      <c r="D607">
        <v>6646.5540267653496</v>
      </c>
    </row>
    <row r="608" spans="1:4" x14ac:dyDescent="0.3">
      <c r="A608" s="12">
        <v>1102306</v>
      </c>
      <c r="B608">
        <v>36.396639999999998</v>
      </c>
      <c r="C608">
        <v>-5.867254</v>
      </c>
      <c r="D608">
        <v>1605.4973367257026</v>
      </c>
    </row>
    <row r="609" spans="1:4" x14ac:dyDescent="0.3">
      <c r="A609" s="12">
        <v>1102401</v>
      </c>
      <c r="B609">
        <v>36.944191000000004</v>
      </c>
      <c r="C609">
        <v>-5.2954660000000002</v>
      </c>
      <c r="D609">
        <v>467.59235296087758</v>
      </c>
    </row>
    <row r="610" spans="1:4" x14ac:dyDescent="0.3">
      <c r="A610" s="12">
        <v>1102402</v>
      </c>
      <c r="B610">
        <v>36.933844000000001</v>
      </c>
      <c r="C610">
        <v>-5.2657550000000004</v>
      </c>
      <c r="D610">
        <v>1215.660613242565</v>
      </c>
    </row>
    <row r="611" spans="1:4" x14ac:dyDescent="0.3">
      <c r="A611" s="12">
        <v>1102403</v>
      </c>
      <c r="B611">
        <v>36.973184000000003</v>
      </c>
      <c r="C611">
        <v>-5.324954</v>
      </c>
      <c r="D611">
        <v>940.63239665930519</v>
      </c>
    </row>
    <row r="612" spans="1:4" x14ac:dyDescent="0.3">
      <c r="A612" s="12">
        <v>1102404</v>
      </c>
      <c r="B612">
        <v>36.894550000000002</v>
      </c>
      <c r="C612">
        <v>-5.278054</v>
      </c>
      <c r="D612">
        <v>4642.2042106820118</v>
      </c>
    </row>
    <row r="613" spans="1:4" x14ac:dyDescent="0.3">
      <c r="A613" s="12">
        <v>1102501</v>
      </c>
      <c r="B613">
        <v>36.529058999999997</v>
      </c>
      <c r="C613">
        <v>-5.8750859999999996</v>
      </c>
      <c r="D613">
        <v>5155.9521158291</v>
      </c>
    </row>
    <row r="614" spans="1:4" x14ac:dyDescent="0.3">
      <c r="A614" s="12">
        <v>1102601</v>
      </c>
      <c r="B614">
        <v>36.790114000000003</v>
      </c>
      <c r="C614">
        <v>-5.5546490000000004</v>
      </c>
      <c r="D614">
        <v>2200.808136713797</v>
      </c>
    </row>
    <row r="615" spans="1:4" x14ac:dyDescent="0.3">
      <c r="A615" s="12">
        <v>1102602</v>
      </c>
      <c r="B615">
        <v>36.786113999999998</v>
      </c>
      <c r="C615">
        <v>-5.5536009999999996</v>
      </c>
      <c r="D615">
        <v>2765.5442644942955</v>
      </c>
    </row>
    <row r="616" spans="1:4" x14ac:dyDescent="0.3">
      <c r="A616" s="12">
        <v>1102701</v>
      </c>
      <c r="B616">
        <v>36.610263000000003</v>
      </c>
      <c r="C616">
        <v>-6.2175219999999998</v>
      </c>
      <c r="D616">
        <v>38737.006505084035</v>
      </c>
    </row>
    <row r="617" spans="1:4" x14ac:dyDescent="0.3">
      <c r="A617" s="12">
        <v>1102702</v>
      </c>
      <c r="B617">
        <v>36.590435999999997</v>
      </c>
      <c r="C617">
        <v>-6.261863</v>
      </c>
      <c r="D617">
        <v>25993.971185166709</v>
      </c>
    </row>
    <row r="618" spans="1:4" x14ac:dyDescent="0.3">
      <c r="A618" s="12">
        <v>1102703</v>
      </c>
      <c r="B618">
        <v>36.609298000000003</v>
      </c>
      <c r="C618">
        <v>-6.2299350000000002</v>
      </c>
      <c r="D618">
        <v>25635.728960978551</v>
      </c>
    </row>
    <row r="619" spans="1:4" x14ac:dyDescent="0.3">
      <c r="A619" s="12">
        <v>1102704</v>
      </c>
      <c r="B619">
        <v>36.584629</v>
      </c>
      <c r="C619">
        <v>-6.1881399999999998</v>
      </c>
      <c r="D619">
        <v>7655.7064275554485</v>
      </c>
    </row>
    <row r="620" spans="1:4" x14ac:dyDescent="0.3">
      <c r="A620" s="12">
        <v>1102801</v>
      </c>
      <c r="B620">
        <v>36.528733000000003</v>
      </c>
      <c r="C620">
        <v>-6.1980040000000001</v>
      </c>
      <c r="D620">
        <v>9536.0284041721625</v>
      </c>
    </row>
    <row r="621" spans="1:4" x14ac:dyDescent="0.3">
      <c r="A621" s="12">
        <v>1102802</v>
      </c>
      <c r="B621">
        <v>36.529685000000001</v>
      </c>
      <c r="C621">
        <v>-6.192151</v>
      </c>
      <c r="D621">
        <v>2734.0183166429651</v>
      </c>
    </row>
    <row r="622" spans="1:4" x14ac:dyDescent="0.3">
      <c r="A622" s="12">
        <v>1102803</v>
      </c>
      <c r="B622">
        <v>36.530402000000002</v>
      </c>
      <c r="C622">
        <v>-6.1875220000000004</v>
      </c>
      <c r="D622">
        <v>12866.294681253556</v>
      </c>
    </row>
    <row r="623" spans="1:4" x14ac:dyDescent="0.3">
      <c r="A623" s="12">
        <v>1102804</v>
      </c>
      <c r="B623">
        <v>36.495908</v>
      </c>
      <c r="C623">
        <v>-6.0983099999999997</v>
      </c>
      <c r="D623">
        <v>21534.599752155777</v>
      </c>
    </row>
    <row r="624" spans="1:4" x14ac:dyDescent="0.3">
      <c r="A624" s="12">
        <v>1102901</v>
      </c>
      <c r="B624">
        <v>36.919510000000002</v>
      </c>
      <c r="C624">
        <v>-5.5462600000000002</v>
      </c>
      <c r="D624">
        <v>6217.3951879655197</v>
      </c>
    </row>
    <row r="625" spans="1:4" x14ac:dyDescent="0.3">
      <c r="A625" s="12">
        <v>1103001</v>
      </c>
      <c r="B625">
        <v>36.617066000000001</v>
      </c>
      <c r="C625">
        <v>-6.3578210000000004</v>
      </c>
      <c r="D625">
        <v>10601.933352850476</v>
      </c>
    </row>
    <row r="626" spans="1:4" x14ac:dyDescent="0.3">
      <c r="A626" s="12">
        <v>1103002</v>
      </c>
      <c r="B626">
        <v>36.623775999999999</v>
      </c>
      <c r="C626">
        <v>-6.3558459999999997</v>
      </c>
      <c r="D626">
        <v>6369.789100439807</v>
      </c>
    </row>
    <row r="627" spans="1:4" x14ac:dyDescent="0.3">
      <c r="A627" s="12">
        <v>1103003</v>
      </c>
      <c r="B627">
        <v>36.620897999999997</v>
      </c>
      <c r="C627">
        <v>-6.3588969999999998</v>
      </c>
      <c r="D627">
        <v>15526.977807118585</v>
      </c>
    </row>
    <row r="628" spans="1:4" x14ac:dyDescent="0.3">
      <c r="A628" s="12">
        <v>1103101</v>
      </c>
      <c r="B628">
        <v>36.474339000000001</v>
      </c>
      <c r="C628">
        <v>-6.1847580000000004</v>
      </c>
      <c r="D628">
        <v>22650.553863747056</v>
      </c>
    </row>
    <row r="629" spans="1:4" x14ac:dyDescent="0.3">
      <c r="A629" s="12">
        <v>1103102</v>
      </c>
      <c r="B629">
        <v>36.469957999999998</v>
      </c>
      <c r="C629">
        <v>-6.1947760000000001</v>
      </c>
      <c r="D629">
        <v>1015.3287581278794</v>
      </c>
    </row>
    <row r="630" spans="1:4" x14ac:dyDescent="0.3">
      <c r="A630" s="12">
        <v>1103103</v>
      </c>
      <c r="B630">
        <v>36.47175</v>
      </c>
      <c r="C630">
        <v>-6.2007329999999996</v>
      </c>
      <c r="D630">
        <v>8296.8715640278024</v>
      </c>
    </row>
    <row r="631" spans="1:4" x14ac:dyDescent="0.3">
      <c r="A631" s="12">
        <v>1103104</v>
      </c>
      <c r="B631">
        <v>36.465941000000001</v>
      </c>
      <c r="C631">
        <v>-6.1983920000000001</v>
      </c>
      <c r="D631">
        <v>8215.5856523896964</v>
      </c>
    </row>
    <row r="632" spans="1:4" x14ac:dyDescent="0.3">
      <c r="A632" s="12">
        <v>1103105</v>
      </c>
      <c r="B632">
        <v>36.463005000000003</v>
      </c>
      <c r="C632">
        <v>-6.2043590000000002</v>
      </c>
      <c r="D632">
        <v>11896.195315698611</v>
      </c>
    </row>
    <row r="633" spans="1:4" x14ac:dyDescent="0.3">
      <c r="A633" s="12">
        <v>1103106</v>
      </c>
      <c r="B633">
        <v>36.461444</v>
      </c>
      <c r="C633">
        <v>-6.201327</v>
      </c>
      <c r="D633">
        <v>48296.788790222512</v>
      </c>
    </row>
    <row r="634" spans="1:4" x14ac:dyDescent="0.3">
      <c r="A634" s="12">
        <v>1190201</v>
      </c>
      <c r="B634">
        <v>36.607374</v>
      </c>
      <c r="C634">
        <v>-5.7988189999999999</v>
      </c>
      <c r="D634">
        <v>4195.2684558142282</v>
      </c>
    </row>
    <row r="635" spans="1:4" x14ac:dyDescent="0.3">
      <c r="A635" s="12">
        <v>1190301</v>
      </c>
      <c r="B635">
        <v>36.359070000000003</v>
      </c>
      <c r="C635">
        <v>-5.363435</v>
      </c>
      <c r="D635">
        <v>2416.7795602175293</v>
      </c>
    </row>
    <row r="636" spans="1:4" x14ac:dyDescent="0.3">
      <c r="A636" s="12">
        <v>1103301</v>
      </c>
      <c r="B636">
        <v>36.209136000000001</v>
      </c>
      <c r="C636">
        <v>-5.383197</v>
      </c>
      <c r="D636">
        <v>3729.0792413493045</v>
      </c>
    </row>
    <row r="637" spans="1:4" x14ac:dyDescent="0.3">
      <c r="A637" s="12">
        <v>1103302</v>
      </c>
      <c r="B637">
        <v>36.213352999999998</v>
      </c>
      <c r="C637">
        <v>-5.3872119999999999</v>
      </c>
      <c r="D637">
        <v>10780.651336114261</v>
      </c>
    </row>
    <row r="638" spans="1:4" x14ac:dyDescent="0.3">
      <c r="A638" s="12">
        <v>1103303</v>
      </c>
      <c r="B638">
        <v>36.175894999999997</v>
      </c>
      <c r="C638">
        <v>-5.3736379999999997</v>
      </c>
      <c r="D638">
        <v>4511.4476386568585</v>
      </c>
    </row>
    <row r="639" spans="1:4" x14ac:dyDescent="0.3">
      <c r="A639" s="12">
        <v>1103304</v>
      </c>
      <c r="B639">
        <v>36.208354</v>
      </c>
      <c r="C639">
        <v>-5.4203830000000002</v>
      </c>
      <c r="D639">
        <v>5551.0759281368582</v>
      </c>
    </row>
    <row r="640" spans="1:4" x14ac:dyDescent="0.3">
      <c r="A640" s="12">
        <v>1103305</v>
      </c>
      <c r="B640">
        <v>36.301875000000003</v>
      </c>
      <c r="C640">
        <v>-5.3304970000000003</v>
      </c>
      <c r="D640">
        <v>12619.533682877502</v>
      </c>
    </row>
    <row r="641" spans="1:4" x14ac:dyDescent="0.3">
      <c r="A641" s="12">
        <v>1103201</v>
      </c>
      <c r="B641">
        <v>36.773637999999998</v>
      </c>
      <c r="C641">
        <v>-6.343674</v>
      </c>
      <c r="D641">
        <v>21952.912982279857</v>
      </c>
    </row>
    <row r="642" spans="1:4" x14ac:dyDescent="0.3">
      <c r="A642" s="12">
        <v>1103202</v>
      </c>
      <c r="B642">
        <v>36.773567</v>
      </c>
      <c r="C642">
        <v>-6.3551890000000002</v>
      </c>
      <c r="D642">
        <v>7614.4342015412049</v>
      </c>
    </row>
    <row r="643" spans="1:4" x14ac:dyDescent="0.3">
      <c r="A643" s="12">
        <v>1103203</v>
      </c>
      <c r="B643">
        <v>36.779454000000001</v>
      </c>
      <c r="C643">
        <v>-6.3544219999999996</v>
      </c>
      <c r="D643">
        <v>7495.1027084465832</v>
      </c>
    </row>
    <row r="644" spans="1:4" x14ac:dyDescent="0.3">
      <c r="A644" s="12">
        <v>1103204</v>
      </c>
      <c r="B644">
        <v>36.777434</v>
      </c>
      <c r="C644">
        <v>-6.353656</v>
      </c>
      <c r="D644">
        <v>3400.924049772706</v>
      </c>
    </row>
    <row r="645" spans="1:4" x14ac:dyDescent="0.3">
      <c r="A645" s="12">
        <v>1103205</v>
      </c>
      <c r="B645">
        <v>36.782496000000002</v>
      </c>
      <c r="C645">
        <v>-6.3500129999999997</v>
      </c>
      <c r="D645">
        <v>17709.214932834067</v>
      </c>
    </row>
    <row r="646" spans="1:4" x14ac:dyDescent="0.3">
      <c r="A646" s="12">
        <v>1103401</v>
      </c>
      <c r="B646">
        <v>36.870007000000001</v>
      </c>
      <c r="C646">
        <v>-5.2213440000000002</v>
      </c>
      <c r="D646">
        <v>2504.2191768629864</v>
      </c>
    </row>
    <row r="647" spans="1:4" x14ac:dyDescent="0.3">
      <c r="A647" s="12">
        <v>1103501</v>
      </c>
      <c r="B647">
        <v>36.011964999999996</v>
      </c>
      <c r="C647">
        <v>-5.6029470000000003</v>
      </c>
      <c r="D647">
        <v>15378.239114764066</v>
      </c>
    </row>
    <row r="648" spans="1:4" x14ac:dyDescent="0.3">
      <c r="A648" s="12">
        <v>1103502</v>
      </c>
      <c r="B648">
        <v>36.071190000000001</v>
      </c>
      <c r="C648">
        <v>-5.5899710000000002</v>
      </c>
      <c r="D648">
        <v>4376.0408782919285</v>
      </c>
    </row>
    <row r="649" spans="1:4" x14ac:dyDescent="0.3">
      <c r="A649" s="12">
        <v>1103601</v>
      </c>
      <c r="B649">
        <v>36.910533999999998</v>
      </c>
      <c r="C649">
        <v>-5.2314790000000002</v>
      </c>
      <c r="D649">
        <v>732.52594080639483</v>
      </c>
    </row>
    <row r="650" spans="1:4" x14ac:dyDescent="0.3">
      <c r="A650" s="12">
        <v>1103701</v>
      </c>
      <c r="B650">
        <v>36.864671000000001</v>
      </c>
      <c r="C650">
        <v>-6.1505140000000003</v>
      </c>
      <c r="D650">
        <v>7477.2979786364576</v>
      </c>
    </row>
    <row r="651" spans="1:4" x14ac:dyDescent="0.3">
      <c r="A651" s="12">
        <v>1103801</v>
      </c>
      <c r="B651">
        <v>36.680138999999997</v>
      </c>
      <c r="C651">
        <v>-5.4449839999999998</v>
      </c>
      <c r="D651">
        <v>16528.1104044852</v>
      </c>
    </row>
    <row r="652" spans="1:4" x14ac:dyDescent="0.3">
      <c r="A652" s="12">
        <v>1103901</v>
      </c>
      <c r="B652">
        <v>36.2866</v>
      </c>
      <c r="C652">
        <v>-6.0012689999999997</v>
      </c>
      <c r="D652">
        <v>980.51378327506268</v>
      </c>
    </row>
    <row r="653" spans="1:4" x14ac:dyDescent="0.3">
      <c r="A653" s="12">
        <v>1103902</v>
      </c>
      <c r="B653">
        <v>36.253132000000001</v>
      </c>
      <c r="C653">
        <v>-5.9633380000000002</v>
      </c>
      <c r="D653">
        <v>5734.5305429680484</v>
      </c>
    </row>
    <row r="654" spans="1:4" x14ac:dyDescent="0.3">
      <c r="A654" s="12">
        <v>1103903</v>
      </c>
      <c r="B654">
        <v>36.238979999999998</v>
      </c>
      <c r="C654">
        <v>-6.0484499999999999</v>
      </c>
      <c r="D654">
        <v>4669.256765648588</v>
      </c>
    </row>
    <row r="655" spans="1:4" x14ac:dyDescent="0.3">
      <c r="A655" s="12">
        <v>1104001</v>
      </c>
      <c r="B655">
        <v>36.686332</v>
      </c>
      <c r="C655">
        <v>-5.3671249999999997</v>
      </c>
      <c r="D655">
        <v>523.4717879301719</v>
      </c>
    </row>
    <row r="656" spans="1:4" x14ac:dyDescent="0.3">
      <c r="A656" s="12">
        <v>1104101</v>
      </c>
      <c r="B656">
        <v>36.867412999999999</v>
      </c>
      <c r="C656">
        <v>-5.644355</v>
      </c>
      <c r="D656">
        <v>3546.1786077761494</v>
      </c>
    </row>
    <row r="657" spans="1:4" x14ac:dyDescent="0.3">
      <c r="A657" s="12">
        <v>1104102</v>
      </c>
      <c r="B657">
        <v>36.862226</v>
      </c>
      <c r="C657">
        <v>-5.6444390000000002</v>
      </c>
      <c r="D657">
        <v>8012.452600808313</v>
      </c>
    </row>
    <row r="658" spans="1:4" x14ac:dyDescent="0.3">
      <c r="A658" s="12">
        <v>1104201</v>
      </c>
      <c r="B658">
        <v>36.829881</v>
      </c>
      <c r="C658">
        <v>-5.4449170000000002</v>
      </c>
      <c r="D658">
        <v>1267.3360898741305</v>
      </c>
    </row>
    <row r="659" spans="1:4" x14ac:dyDescent="0.3">
      <c r="A65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18019-8931-4E5E-A4A8-1E5BF78D78B6}">
  <dimension ref="A1:L664"/>
  <sheetViews>
    <sheetView topLeftCell="C7" workbookViewId="0">
      <selection activeCell="K664" sqref="K8:L664"/>
    </sheetView>
  </sheetViews>
  <sheetFormatPr baseColWidth="10" defaultColWidth="18.88671875" defaultRowHeight="34.200000000000003" customHeight="1" x14ac:dyDescent="0.3"/>
  <cols>
    <col min="1" max="1" width="13.6640625" customWidth="1"/>
    <col min="8" max="8" width="15.21875" bestFit="1" customWidth="1"/>
    <col min="11" max="11" width="25.77734375" customWidth="1"/>
  </cols>
  <sheetData>
    <row r="1" spans="1:12" ht="34.200000000000003" customHeight="1" x14ac:dyDescent="0.3">
      <c r="G1" t="s">
        <v>589</v>
      </c>
      <c r="H1">
        <f>GEOMEAN(F8:F664)</f>
        <v>15374.316936022336</v>
      </c>
      <c r="J1" s="6">
        <f>MAX(J7:J536)</f>
        <v>121388.69284259068</v>
      </c>
      <c r="K1">
        <f>GEOMEAN(J8:J536)</f>
        <v>2661.0156397645078</v>
      </c>
    </row>
    <row r="2" spans="1:12" ht="34.200000000000003" customHeight="1" x14ac:dyDescent="0.3">
      <c r="G2" t="s">
        <v>590</v>
      </c>
      <c r="H2">
        <f>GEOMEAN(I8:I664)</f>
        <v>2.4676072483946112</v>
      </c>
      <c r="J2" s="6">
        <f>MIN(J8:J536)</f>
        <v>3.2848421768854656</v>
      </c>
      <c r="K2" s="6">
        <f>MEDIAN(J8:J536)</f>
        <v>2358.3995481499114</v>
      </c>
    </row>
    <row r="4" spans="1:12" ht="31.2" customHeight="1" thickBot="1" x14ac:dyDescent="0.35"/>
    <row r="5" spans="1:12" ht="34.200000000000003" hidden="1" customHeight="1" thickBot="1" x14ac:dyDescent="0.35"/>
    <row r="6" spans="1:12" ht="11.4" hidden="1" customHeight="1" thickBot="1" x14ac:dyDescent="0.35"/>
    <row r="7" spans="1:12" ht="48" customHeight="1" thickBot="1" x14ac:dyDescent="0.35">
      <c r="A7" s="1" t="s">
        <v>0</v>
      </c>
      <c r="B7" s="1" t="s">
        <v>1</v>
      </c>
      <c r="C7" s="1" t="s">
        <v>2</v>
      </c>
      <c r="D7" s="1" t="s">
        <v>3</v>
      </c>
      <c r="E7" s="4" t="s">
        <v>82</v>
      </c>
      <c r="F7" s="4" t="s">
        <v>85</v>
      </c>
      <c r="G7" s="4" t="s">
        <v>83</v>
      </c>
      <c r="H7" s="4" t="s">
        <v>84</v>
      </c>
      <c r="I7" s="4" t="s">
        <v>81</v>
      </c>
      <c r="J7" s="11" t="s">
        <v>521</v>
      </c>
      <c r="K7" s="10" t="s">
        <v>523</v>
      </c>
      <c r="L7" s="14" t="s">
        <v>524</v>
      </c>
    </row>
    <row r="8" spans="1:12" ht="34.200000000000003" customHeight="1" thickBot="1" x14ac:dyDescent="0.35">
      <c r="A8" s="1">
        <v>1400101</v>
      </c>
      <c r="B8" s="2" t="s">
        <v>4</v>
      </c>
      <c r="C8" s="2">
        <v>1</v>
      </c>
      <c r="D8" s="2">
        <v>14430</v>
      </c>
      <c r="E8" s="9">
        <v>4088</v>
      </c>
      <c r="F8" s="9">
        <v>14350</v>
      </c>
      <c r="G8" s="3">
        <v>16.8</v>
      </c>
      <c r="H8" s="3">
        <v>23.7</v>
      </c>
      <c r="I8" s="3">
        <v>2.4</v>
      </c>
      <c r="J8" s="5">
        <f>E8*(F8/$H$1)*(1+(G8/100)-(H8/100))*($H$2/I8)^0.5</f>
        <v>3602.044197095398</v>
      </c>
      <c r="K8" s="2">
        <v>38.029434000000002</v>
      </c>
      <c r="L8">
        <v>-4.5209840000000003</v>
      </c>
    </row>
    <row r="9" spans="1:12" ht="34.200000000000003" customHeight="1" thickBot="1" x14ac:dyDescent="0.35">
      <c r="A9" s="1">
        <v>1400201</v>
      </c>
      <c r="B9" s="2" t="s">
        <v>5</v>
      </c>
      <c r="C9" s="2">
        <v>1</v>
      </c>
      <c r="D9" s="2">
        <v>14520</v>
      </c>
      <c r="E9" s="9">
        <v>2982</v>
      </c>
      <c r="F9" s="9">
        <v>15050</v>
      </c>
      <c r="G9" s="3">
        <v>13.2</v>
      </c>
      <c r="H9" s="3">
        <v>25.6</v>
      </c>
      <c r="I9" s="3">
        <v>2.2999999999999998</v>
      </c>
      <c r="J9" s="5">
        <f t="shared" ref="J8:J71" si="0">E9*(F9/$H$1)*(1+(G9/100)-(H9/100))*($H$2/I9)^0.5</f>
        <v>2648.6618498257149</v>
      </c>
      <c r="K9" s="2">
        <v>37.518050000000002</v>
      </c>
      <c r="L9">
        <v>-4.6601610000000004</v>
      </c>
    </row>
    <row r="10" spans="1:12" ht="34.200000000000003" customHeight="1" thickBot="1" x14ac:dyDescent="0.35">
      <c r="A10" s="1">
        <v>1400202</v>
      </c>
      <c r="B10" s="2" t="s">
        <v>5</v>
      </c>
      <c r="C10" s="2">
        <v>2</v>
      </c>
      <c r="D10" s="2">
        <v>14520</v>
      </c>
      <c r="E10" s="9">
        <v>3979</v>
      </c>
      <c r="F10" s="9">
        <v>13650</v>
      </c>
      <c r="G10" s="3">
        <v>16.7</v>
      </c>
      <c r="H10" s="3">
        <v>20.2</v>
      </c>
      <c r="I10" s="3">
        <v>2.4</v>
      </c>
      <c r="J10" s="5">
        <f t="shared" si="0"/>
        <v>3456.7699025606698</v>
      </c>
      <c r="K10" s="2">
        <v>37.528205999999997</v>
      </c>
      <c r="L10">
        <v>-4.6679000000000004</v>
      </c>
    </row>
    <row r="11" spans="1:12" ht="34.200000000000003" customHeight="1" thickBot="1" x14ac:dyDescent="0.35">
      <c r="A11" s="1">
        <v>1400203</v>
      </c>
      <c r="B11" s="2" t="s">
        <v>5</v>
      </c>
      <c r="C11" s="2">
        <v>3</v>
      </c>
      <c r="D11" s="2">
        <v>14520</v>
      </c>
      <c r="E11" s="9">
        <v>6136</v>
      </c>
      <c r="F11" s="9">
        <v>14350</v>
      </c>
      <c r="G11" s="3">
        <v>18.2</v>
      </c>
      <c r="H11" s="3">
        <v>16.7</v>
      </c>
      <c r="I11" s="3">
        <v>2.5</v>
      </c>
      <c r="J11" s="5">
        <f t="shared" si="0"/>
        <v>5775.3123696915372</v>
      </c>
      <c r="K11" s="2">
        <v>37.447969999999998</v>
      </c>
      <c r="L11">
        <v>-4.693816</v>
      </c>
    </row>
    <row r="12" spans="1:12" ht="34.200000000000003" customHeight="1" thickBot="1" x14ac:dyDescent="0.35">
      <c r="A12" s="1">
        <v>1400301</v>
      </c>
      <c r="B12" s="2" t="s">
        <v>6</v>
      </c>
      <c r="C12" s="2">
        <v>1</v>
      </c>
      <c r="D12" s="2">
        <v>14480</v>
      </c>
      <c r="E12" s="9">
        <v>1422</v>
      </c>
      <c r="F12" s="9">
        <v>16450</v>
      </c>
      <c r="G12" s="3">
        <v>14.1</v>
      </c>
      <c r="H12" s="3">
        <v>24.5</v>
      </c>
      <c r="I12" s="3">
        <v>2.2000000000000002</v>
      </c>
      <c r="J12" s="5">
        <f t="shared" si="0"/>
        <v>1443.7910885875699</v>
      </c>
      <c r="K12" s="2">
        <v>38.293909999999997</v>
      </c>
      <c r="L12">
        <v>-4.9359099999999998</v>
      </c>
    </row>
    <row r="13" spans="1:12" ht="34.200000000000003" customHeight="1" thickBot="1" x14ac:dyDescent="0.35">
      <c r="A13" s="1">
        <v>1400401</v>
      </c>
      <c r="B13" s="2" t="s">
        <v>7</v>
      </c>
      <c r="C13" s="2">
        <v>1</v>
      </c>
      <c r="D13" s="2">
        <v>14812</v>
      </c>
      <c r="E13" s="9">
        <v>1530</v>
      </c>
      <c r="F13" s="9">
        <v>13650</v>
      </c>
      <c r="G13" s="3">
        <v>17.8</v>
      </c>
      <c r="H13" s="3">
        <v>20.399999999999999</v>
      </c>
      <c r="I13" s="3">
        <v>2.4</v>
      </c>
      <c r="J13" s="5">
        <f t="shared" si="0"/>
        <v>1341.5893659833193</v>
      </c>
      <c r="K13" s="2">
        <v>37.440367000000002</v>
      </c>
      <c r="L13">
        <v>-4.089588</v>
      </c>
    </row>
    <row r="14" spans="1:12" ht="34.200000000000003" customHeight="1" thickBot="1" x14ac:dyDescent="0.35">
      <c r="A14" s="1">
        <v>1400402</v>
      </c>
      <c r="B14" s="2" t="s">
        <v>7</v>
      </c>
      <c r="C14" s="2">
        <v>2</v>
      </c>
      <c r="D14" s="2">
        <v>14812</v>
      </c>
      <c r="E14" s="9">
        <v>795</v>
      </c>
      <c r="F14" s="9">
        <v>13650</v>
      </c>
      <c r="G14" s="3">
        <v>9.4</v>
      </c>
      <c r="H14" s="3">
        <v>26.3</v>
      </c>
      <c r="I14" s="3">
        <v>2.1</v>
      </c>
      <c r="J14" s="5">
        <f t="shared" si="0"/>
        <v>635.81877127063683</v>
      </c>
      <c r="K14" s="2">
        <v>37.435676999999998</v>
      </c>
      <c r="L14">
        <v>-4.0668810000000004</v>
      </c>
    </row>
    <row r="15" spans="1:12" ht="34.200000000000003" customHeight="1" thickBot="1" x14ac:dyDescent="0.35">
      <c r="A15" s="1">
        <v>1400501</v>
      </c>
      <c r="B15" s="2" t="s">
        <v>8</v>
      </c>
      <c r="C15" s="2">
        <v>1</v>
      </c>
      <c r="D15" s="2">
        <v>14720</v>
      </c>
      <c r="E15" s="9">
        <v>7958</v>
      </c>
      <c r="F15" s="9">
        <v>14350</v>
      </c>
      <c r="G15" s="3">
        <v>19.100000000000001</v>
      </c>
      <c r="H15" s="3">
        <v>18.899999999999999</v>
      </c>
      <c r="I15" s="3">
        <v>2.5</v>
      </c>
      <c r="J15" s="5">
        <f t="shared" si="0"/>
        <v>7394.277446786029</v>
      </c>
      <c r="K15" s="2">
        <v>37.810850000000002</v>
      </c>
      <c r="L15">
        <v>-5.0158250000000004</v>
      </c>
    </row>
    <row r="16" spans="1:12" ht="34.200000000000003" customHeight="1" thickBot="1" x14ac:dyDescent="0.35">
      <c r="A16" s="1">
        <v>1400601</v>
      </c>
      <c r="B16" s="2" t="s">
        <v>9</v>
      </c>
      <c r="C16" s="2">
        <v>1</v>
      </c>
      <c r="D16" s="2">
        <v>14450</v>
      </c>
      <c r="E16" s="9">
        <v>1466</v>
      </c>
      <c r="F16" s="9">
        <v>17850</v>
      </c>
      <c r="G16" s="3">
        <v>16</v>
      </c>
      <c r="H16" s="3">
        <v>24.1</v>
      </c>
      <c r="I16" s="3">
        <v>2.2999999999999998</v>
      </c>
      <c r="J16" s="5">
        <f t="shared" si="0"/>
        <v>1620.1900962167445</v>
      </c>
      <c r="K16" s="2">
        <v>38.323551999999999</v>
      </c>
      <c r="L16">
        <v>-4.8672510000000004</v>
      </c>
    </row>
    <row r="17" spans="1:12" ht="34.200000000000003" customHeight="1" thickBot="1" x14ac:dyDescent="0.35">
      <c r="A17" s="1">
        <v>1400701</v>
      </c>
      <c r="B17" s="2" t="s">
        <v>10</v>
      </c>
      <c r="C17" s="2">
        <v>1</v>
      </c>
      <c r="D17" s="2">
        <v>14850</v>
      </c>
      <c r="E17" s="9">
        <v>3787</v>
      </c>
      <c r="F17" s="9">
        <v>14350</v>
      </c>
      <c r="G17" s="3">
        <v>17.600000000000001</v>
      </c>
      <c r="H17" s="3">
        <v>18</v>
      </c>
      <c r="I17" s="3">
        <v>2.5</v>
      </c>
      <c r="J17" s="5">
        <f t="shared" si="0"/>
        <v>3497.669172363338</v>
      </c>
      <c r="K17" s="2">
        <v>37.615324000000001</v>
      </c>
      <c r="L17">
        <v>-4.3259160000000003</v>
      </c>
    </row>
    <row r="18" spans="1:12" ht="34.200000000000003" customHeight="1" thickBot="1" x14ac:dyDescent="0.35">
      <c r="A18" s="1">
        <v>1400702</v>
      </c>
      <c r="B18" s="2" t="s">
        <v>10</v>
      </c>
      <c r="C18" s="2">
        <v>2</v>
      </c>
      <c r="D18" s="2">
        <v>14850</v>
      </c>
      <c r="E18" s="9">
        <v>1469</v>
      </c>
      <c r="F18" s="9">
        <v>12950</v>
      </c>
      <c r="G18" s="3">
        <v>17.5</v>
      </c>
      <c r="H18" s="3">
        <v>20.399999999999999</v>
      </c>
      <c r="I18" s="3">
        <v>2.4</v>
      </c>
      <c r="J18" s="5">
        <f t="shared" si="0"/>
        <v>1218.2806946044091</v>
      </c>
      <c r="K18" s="2">
        <v>37.615301000000002</v>
      </c>
      <c r="L18">
        <v>-4.3316129999999999</v>
      </c>
    </row>
    <row r="19" spans="1:12" ht="34.200000000000003" customHeight="1" thickBot="1" x14ac:dyDescent="0.35">
      <c r="A19" s="1">
        <v>1400703</v>
      </c>
      <c r="B19" s="2" t="s">
        <v>10</v>
      </c>
      <c r="C19" s="2">
        <v>3</v>
      </c>
      <c r="D19" s="2">
        <v>14850</v>
      </c>
      <c r="E19" s="9">
        <v>10096</v>
      </c>
      <c r="F19" s="9">
        <v>15050</v>
      </c>
      <c r="G19" s="3">
        <v>18.399999999999999</v>
      </c>
      <c r="H19" s="3">
        <v>18.8</v>
      </c>
      <c r="I19" s="3">
        <v>2.5</v>
      </c>
      <c r="J19" s="5">
        <f t="shared" si="0"/>
        <v>9779.5160752751781</v>
      </c>
      <c r="K19" s="2">
        <v>37.618161000000001</v>
      </c>
      <c r="L19">
        <v>-4.323029</v>
      </c>
    </row>
    <row r="20" spans="1:12" ht="34.200000000000003" customHeight="1" thickBot="1" x14ac:dyDescent="0.35">
      <c r="A20" s="1">
        <v>1400704</v>
      </c>
      <c r="B20" s="2" t="s">
        <v>10</v>
      </c>
      <c r="C20" s="2">
        <v>4</v>
      </c>
      <c r="D20" s="2">
        <v>14850</v>
      </c>
      <c r="E20" s="9">
        <v>1729</v>
      </c>
      <c r="F20" s="9">
        <v>10850</v>
      </c>
      <c r="G20" s="3">
        <v>18.5</v>
      </c>
      <c r="H20" s="3">
        <v>13.2</v>
      </c>
      <c r="I20" s="3">
        <v>2.4</v>
      </c>
      <c r="J20" s="5">
        <f t="shared" si="0"/>
        <v>1302.8357608528795</v>
      </c>
      <c r="K20" s="2">
        <v>37.612726000000002</v>
      </c>
      <c r="L20">
        <v>-4.328506</v>
      </c>
    </row>
    <row r="21" spans="1:12" ht="34.200000000000003" customHeight="1" thickBot="1" x14ac:dyDescent="0.35">
      <c r="A21" s="1">
        <v>1400705</v>
      </c>
      <c r="B21" s="2" t="s">
        <v>10</v>
      </c>
      <c r="C21" s="2">
        <v>5</v>
      </c>
      <c r="D21" s="2">
        <v>14850</v>
      </c>
      <c r="E21" s="9">
        <v>1058</v>
      </c>
      <c r="F21" s="9">
        <v>13650</v>
      </c>
      <c r="G21" s="3">
        <v>14.8</v>
      </c>
      <c r="H21" s="3">
        <v>25.7</v>
      </c>
      <c r="I21" s="3">
        <v>2.2000000000000002</v>
      </c>
      <c r="J21" s="5">
        <f t="shared" si="0"/>
        <v>886.39413069559089</v>
      </c>
      <c r="K21" s="2">
        <v>37.670001999999997</v>
      </c>
      <c r="L21">
        <v>-4.2376870000000002</v>
      </c>
    </row>
    <row r="22" spans="1:12" ht="34.200000000000003" customHeight="1" thickBot="1" x14ac:dyDescent="0.35">
      <c r="A22" s="1">
        <v>1400801</v>
      </c>
      <c r="B22" s="2" t="s">
        <v>11</v>
      </c>
      <c r="C22" s="2">
        <v>1</v>
      </c>
      <c r="D22" s="2">
        <v>14280</v>
      </c>
      <c r="E22" s="9">
        <v>611</v>
      </c>
      <c r="F22" s="9">
        <v>12950</v>
      </c>
      <c r="G22" s="3">
        <v>13.3</v>
      </c>
      <c r="H22" s="3">
        <v>22.4</v>
      </c>
      <c r="I22" s="3">
        <v>2.2999999999999998</v>
      </c>
      <c r="J22" s="5">
        <f t="shared" si="0"/>
        <v>484.56621717722726</v>
      </c>
      <c r="K22" s="2">
        <v>38.578968000000003</v>
      </c>
      <c r="L22">
        <v>-5.1708280000000002</v>
      </c>
    </row>
    <row r="23" spans="1:12" ht="34.200000000000003" customHeight="1" thickBot="1" x14ac:dyDescent="0.35">
      <c r="A23" s="1">
        <v>1400802</v>
      </c>
      <c r="B23" s="2" t="s">
        <v>11</v>
      </c>
      <c r="C23" s="2">
        <v>2</v>
      </c>
      <c r="D23" s="2">
        <v>14280</v>
      </c>
      <c r="E23" s="9">
        <v>792</v>
      </c>
      <c r="F23" s="9">
        <v>13650</v>
      </c>
      <c r="G23" s="3">
        <v>12</v>
      </c>
      <c r="H23" s="3">
        <v>28.9</v>
      </c>
      <c r="I23" s="3">
        <v>2.2999999999999998</v>
      </c>
      <c r="J23" s="5">
        <f t="shared" si="0"/>
        <v>605.25324665483663</v>
      </c>
      <c r="K23" s="2">
        <v>38.576594999999998</v>
      </c>
      <c r="L23">
        <v>-5.1635929999999997</v>
      </c>
    </row>
    <row r="24" spans="1:12" ht="34.200000000000003" customHeight="1" thickBot="1" x14ac:dyDescent="0.35">
      <c r="A24" s="1">
        <v>1400803</v>
      </c>
      <c r="B24" s="2" t="s">
        <v>11</v>
      </c>
      <c r="C24" s="2">
        <v>3</v>
      </c>
      <c r="D24" s="2">
        <v>14280</v>
      </c>
      <c r="E24" s="9">
        <v>675</v>
      </c>
      <c r="F24" s="9">
        <v>14350</v>
      </c>
      <c r="G24" s="3">
        <v>13.2</v>
      </c>
      <c r="H24" s="3">
        <v>25.5</v>
      </c>
      <c r="I24" s="3">
        <v>2.2999999999999998</v>
      </c>
      <c r="J24" s="5">
        <f t="shared" si="0"/>
        <v>572.31290419033326</v>
      </c>
      <c r="K24" s="2">
        <v>38.591397999999998</v>
      </c>
      <c r="L24">
        <v>-5.1487309999999997</v>
      </c>
    </row>
    <row r="25" spans="1:12" ht="34.200000000000003" customHeight="1" thickBot="1" x14ac:dyDescent="0.35">
      <c r="A25" s="1">
        <v>1400804</v>
      </c>
      <c r="B25" s="2" t="s">
        <v>11</v>
      </c>
      <c r="C25" s="2">
        <v>4</v>
      </c>
      <c r="D25" s="2">
        <v>14280</v>
      </c>
      <c r="E25" s="9">
        <v>969</v>
      </c>
      <c r="F25" s="9">
        <v>14350</v>
      </c>
      <c r="G25" s="3">
        <v>14.9</v>
      </c>
      <c r="H25" s="3">
        <v>24.7</v>
      </c>
      <c r="I25" s="3">
        <v>2.4</v>
      </c>
      <c r="J25" s="5">
        <f t="shared" si="0"/>
        <v>827.2157292363039</v>
      </c>
      <c r="K25" s="2">
        <v>38.574817000000003</v>
      </c>
      <c r="L25">
        <v>-5.1695010000000003</v>
      </c>
    </row>
    <row r="26" spans="1:12" ht="34.200000000000003" customHeight="1" thickBot="1" x14ac:dyDescent="0.35">
      <c r="A26" s="1">
        <v>1400901</v>
      </c>
      <c r="B26" s="2" t="s">
        <v>12</v>
      </c>
      <c r="C26" s="2">
        <v>1</v>
      </c>
      <c r="D26" s="2">
        <v>14240</v>
      </c>
      <c r="E26" s="9">
        <v>1209</v>
      </c>
      <c r="F26" s="9">
        <v>16100</v>
      </c>
      <c r="G26" s="3">
        <v>13</v>
      </c>
      <c r="H26" s="3">
        <v>26.1</v>
      </c>
      <c r="I26" s="3">
        <v>2.2999999999999998</v>
      </c>
      <c r="J26" s="5">
        <f t="shared" si="0"/>
        <v>1139.5941845275761</v>
      </c>
      <c r="K26" s="2">
        <v>38.270890999999999</v>
      </c>
      <c r="L26">
        <v>-5.2104369999999998</v>
      </c>
    </row>
    <row r="27" spans="1:12" ht="34.200000000000003" customHeight="1" thickBot="1" x14ac:dyDescent="0.35">
      <c r="A27" s="1">
        <v>1400902</v>
      </c>
      <c r="B27" s="2" t="s">
        <v>12</v>
      </c>
      <c r="C27" s="2">
        <v>2</v>
      </c>
      <c r="D27" s="2">
        <v>14240</v>
      </c>
      <c r="E27" s="9">
        <v>730</v>
      </c>
      <c r="F27" s="9">
        <v>15750</v>
      </c>
      <c r="G27" s="3">
        <v>14.3</v>
      </c>
      <c r="H27" s="3">
        <v>27.1</v>
      </c>
      <c r="I27" s="3">
        <v>2.4</v>
      </c>
      <c r="J27" s="5">
        <f t="shared" si="0"/>
        <v>661.23597146498389</v>
      </c>
      <c r="K27" s="2">
        <v>38.272323</v>
      </c>
      <c r="L27">
        <v>-5.2071719999999999</v>
      </c>
    </row>
    <row r="28" spans="1:12" ht="34.200000000000003" customHeight="1" thickBot="1" x14ac:dyDescent="0.35">
      <c r="A28" s="1">
        <v>1400903</v>
      </c>
      <c r="B28" s="2" t="s">
        <v>12</v>
      </c>
      <c r="C28" s="2">
        <v>3</v>
      </c>
      <c r="D28" s="2">
        <v>14240</v>
      </c>
      <c r="E28" s="9">
        <v>865</v>
      </c>
      <c r="F28" s="9">
        <v>15050</v>
      </c>
      <c r="G28" s="3">
        <v>12.1</v>
      </c>
      <c r="H28" s="3">
        <v>28.3</v>
      </c>
      <c r="I28" s="3">
        <v>2.2999999999999998</v>
      </c>
      <c r="J28" s="5">
        <f t="shared" si="0"/>
        <v>734.97894332630688</v>
      </c>
      <c r="K28" s="2">
        <v>38.265571999999999</v>
      </c>
      <c r="L28">
        <v>-5.1839820000000003</v>
      </c>
    </row>
    <row r="29" spans="1:12" ht="34.200000000000003" customHeight="1" thickBot="1" x14ac:dyDescent="0.35">
      <c r="A29" s="1">
        <v>1401001</v>
      </c>
      <c r="B29" s="2" t="s">
        <v>13</v>
      </c>
      <c r="C29" s="2">
        <v>1</v>
      </c>
      <c r="D29" s="2">
        <v>14910</v>
      </c>
      <c r="E29" s="9">
        <v>1412</v>
      </c>
      <c r="F29" s="9">
        <v>14350</v>
      </c>
      <c r="G29" s="3">
        <v>16.899999999999999</v>
      </c>
      <c r="H29" s="3">
        <v>20.8</v>
      </c>
      <c r="I29" s="3">
        <v>2.2999999999999998</v>
      </c>
      <c r="J29" s="5">
        <f t="shared" si="0"/>
        <v>1311.862314639634</v>
      </c>
      <c r="K29" s="2">
        <v>37.268428999999998</v>
      </c>
      <c r="L29">
        <v>-4.5453400000000004</v>
      </c>
    </row>
    <row r="30" spans="1:12" ht="34.200000000000003" customHeight="1" thickBot="1" x14ac:dyDescent="0.35">
      <c r="A30" s="1">
        <v>1401002</v>
      </c>
      <c r="B30" s="2" t="s">
        <v>13</v>
      </c>
      <c r="C30" s="2">
        <v>2</v>
      </c>
      <c r="D30" s="2">
        <v>14910</v>
      </c>
      <c r="E30" s="9">
        <v>2336</v>
      </c>
      <c r="F30" s="9">
        <v>13650</v>
      </c>
      <c r="G30" s="3">
        <v>17.399999999999999</v>
      </c>
      <c r="H30" s="3">
        <v>17.600000000000001</v>
      </c>
      <c r="I30" s="3">
        <v>2.4</v>
      </c>
      <c r="J30" s="5">
        <f t="shared" si="0"/>
        <v>2098.8074602536271</v>
      </c>
      <c r="K30" s="2">
        <v>37.268991999999997</v>
      </c>
      <c r="L30">
        <v>-4.5404650000000002</v>
      </c>
    </row>
    <row r="31" spans="1:12" ht="34.200000000000003" customHeight="1" thickBot="1" x14ac:dyDescent="0.35">
      <c r="A31" s="1">
        <v>1401003</v>
      </c>
      <c r="B31" s="2" t="s">
        <v>13</v>
      </c>
      <c r="C31" s="2">
        <v>3</v>
      </c>
      <c r="D31" s="2">
        <v>14910</v>
      </c>
      <c r="E31" s="9">
        <v>1136</v>
      </c>
      <c r="F31" s="9">
        <v>13650</v>
      </c>
      <c r="G31" s="3">
        <v>18.3</v>
      </c>
      <c r="H31" s="3">
        <v>17.8</v>
      </c>
      <c r="I31" s="3">
        <v>2.4</v>
      </c>
      <c r="J31" s="5">
        <f t="shared" si="0"/>
        <v>1027.8118313778075</v>
      </c>
      <c r="K31" s="2">
        <v>37.247439</v>
      </c>
      <c r="L31">
        <v>-4.5421649999999998</v>
      </c>
    </row>
    <row r="32" spans="1:12" ht="34.200000000000003" customHeight="1" thickBot="1" x14ac:dyDescent="0.35">
      <c r="A32" s="1">
        <v>1401101</v>
      </c>
      <c r="B32" s="2" t="s">
        <v>601</v>
      </c>
      <c r="C32" s="2">
        <v>1</v>
      </c>
      <c r="D32" s="2">
        <v>14208</v>
      </c>
      <c r="E32" s="9">
        <v>635</v>
      </c>
      <c r="F32" s="9">
        <v>12950</v>
      </c>
      <c r="G32" s="3">
        <v>12.3</v>
      </c>
      <c r="H32" s="3">
        <v>26.8</v>
      </c>
      <c r="I32" s="3">
        <v>2.1</v>
      </c>
      <c r="J32" s="5">
        <f t="shared" si="0"/>
        <v>495.72651654950613</v>
      </c>
      <c r="K32" s="2">
        <v>38.424660000000003</v>
      </c>
      <c r="L32">
        <v>-5.4540439999999997</v>
      </c>
    </row>
    <row r="33" spans="1:12" ht="34.200000000000003" customHeight="1" thickBot="1" x14ac:dyDescent="0.35">
      <c r="A33" s="1">
        <v>1401201</v>
      </c>
      <c r="B33" s="2" t="s">
        <v>15</v>
      </c>
      <c r="C33" s="2">
        <v>1</v>
      </c>
      <c r="D33" s="2">
        <v>14650</v>
      </c>
      <c r="E33" s="9">
        <v>1942</v>
      </c>
      <c r="F33" s="9">
        <v>15050</v>
      </c>
      <c r="G33" s="3">
        <v>13.7</v>
      </c>
      <c r="H33" s="3">
        <v>24.1</v>
      </c>
      <c r="I33" s="3">
        <v>2.4</v>
      </c>
      <c r="J33" s="5">
        <f t="shared" si="0"/>
        <v>1727.150979769973</v>
      </c>
      <c r="K33" s="2">
        <v>37.899588000000001</v>
      </c>
      <c r="L33">
        <v>-4.3820480000000002</v>
      </c>
    </row>
    <row r="34" spans="1:12" ht="34.200000000000003" customHeight="1" thickBot="1" x14ac:dyDescent="0.35">
      <c r="A34" s="1">
        <v>1401202</v>
      </c>
      <c r="B34" s="2" t="s">
        <v>15</v>
      </c>
      <c r="C34" s="2">
        <v>2</v>
      </c>
      <c r="D34" s="2">
        <v>14650</v>
      </c>
      <c r="E34" s="9">
        <v>1533</v>
      </c>
      <c r="F34" s="9">
        <v>15750</v>
      </c>
      <c r="G34" s="3">
        <v>17.399999999999999</v>
      </c>
      <c r="H34" s="3">
        <v>20.6</v>
      </c>
      <c r="I34" s="3">
        <v>2.5</v>
      </c>
      <c r="J34" s="5">
        <f t="shared" si="0"/>
        <v>1510.324456540566</v>
      </c>
      <c r="K34" s="2">
        <v>37.894025999999997</v>
      </c>
      <c r="L34">
        <v>-4.3744230000000002</v>
      </c>
    </row>
    <row r="35" spans="1:12" ht="34.200000000000003" customHeight="1" thickBot="1" x14ac:dyDescent="0.35">
      <c r="A35" s="1">
        <v>1401203</v>
      </c>
      <c r="B35" s="2" t="s">
        <v>15</v>
      </c>
      <c r="C35" s="2">
        <v>3</v>
      </c>
      <c r="D35" s="2">
        <v>14650</v>
      </c>
      <c r="E35" s="9">
        <v>1781</v>
      </c>
      <c r="F35" s="9">
        <v>14350</v>
      </c>
      <c r="G35" s="3">
        <v>18.5</v>
      </c>
      <c r="H35" s="3">
        <v>19.2</v>
      </c>
      <c r="I35" s="3">
        <v>2.5</v>
      </c>
      <c r="J35" s="5">
        <f t="shared" si="0"/>
        <v>1639.9750982825549</v>
      </c>
      <c r="K35" s="2">
        <v>37.889890999999999</v>
      </c>
      <c r="L35">
        <v>-4.4192299999999998</v>
      </c>
    </row>
    <row r="36" spans="1:12" ht="34.200000000000003" customHeight="1" thickBot="1" x14ac:dyDescent="0.35">
      <c r="A36" s="1">
        <v>1401204</v>
      </c>
      <c r="B36" s="2" t="s">
        <v>15</v>
      </c>
      <c r="C36" s="2">
        <v>4</v>
      </c>
      <c r="D36" s="2">
        <v>14650</v>
      </c>
      <c r="E36" s="9">
        <v>1786</v>
      </c>
      <c r="F36" s="9">
        <v>12950</v>
      </c>
      <c r="G36" s="3">
        <v>16.600000000000001</v>
      </c>
      <c r="H36" s="3">
        <v>21.7</v>
      </c>
      <c r="I36" s="3">
        <v>2.4</v>
      </c>
      <c r="J36" s="5">
        <f t="shared" si="0"/>
        <v>1447.6180964896478</v>
      </c>
      <c r="K36" s="2">
        <v>37.895238999999997</v>
      </c>
      <c r="L36">
        <v>-4.385726</v>
      </c>
    </row>
    <row r="37" spans="1:12" ht="34.200000000000003" customHeight="1" thickBot="1" x14ac:dyDescent="0.35">
      <c r="A37" s="1">
        <v>1401301</v>
      </c>
      <c r="B37" s="2" t="s">
        <v>16</v>
      </c>
      <c r="C37" s="2">
        <v>1</v>
      </c>
      <c r="D37" s="2">
        <v>14940</v>
      </c>
      <c r="E37" s="9">
        <v>9820</v>
      </c>
      <c r="F37" s="9">
        <v>15750</v>
      </c>
      <c r="G37" s="3">
        <v>15.2</v>
      </c>
      <c r="H37" s="3">
        <v>21.2</v>
      </c>
      <c r="I37" s="3">
        <v>2.5</v>
      </c>
      <c r="J37" s="5">
        <f t="shared" si="0"/>
        <v>9394.8983205799268</v>
      </c>
      <c r="K37" s="2">
        <v>37.474178999999999</v>
      </c>
      <c r="L37">
        <v>-4.4409520000000002</v>
      </c>
    </row>
    <row r="38" spans="1:12" ht="34.200000000000003" customHeight="1" thickBot="1" x14ac:dyDescent="0.35">
      <c r="A38" s="1">
        <v>1401302</v>
      </c>
      <c r="B38" s="2" t="s">
        <v>16</v>
      </c>
      <c r="C38" s="2">
        <v>2</v>
      </c>
      <c r="D38" s="2">
        <v>14940</v>
      </c>
      <c r="E38" s="9">
        <v>4007</v>
      </c>
      <c r="F38" s="9">
        <v>16450</v>
      </c>
      <c r="G38" s="3">
        <v>15.8</v>
      </c>
      <c r="H38" s="3">
        <v>22</v>
      </c>
      <c r="I38" s="3">
        <v>2.4</v>
      </c>
      <c r="J38" s="5">
        <f t="shared" si="0"/>
        <v>4077.7880725317737</v>
      </c>
      <c r="K38" s="2">
        <v>37.471158000000003</v>
      </c>
      <c r="L38">
        <v>-4.4423110000000001</v>
      </c>
    </row>
    <row r="39" spans="1:12" ht="34.200000000000003" customHeight="1" thickBot="1" x14ac:dyDescent="0.35">
      <c r="A39" s="1">
        <v>1401303</v>
      </c>
      <c r="B39" s="2" t="s">
        <v>16</v>
      </c>
      <c r="C39" s="2">
        <v>3</v>
      </c>
      <c r="D39" s="2">
        <v>14940</v>
      </c>
      <c r="E39" s="9">
        <v>4363</v>
      </c>
      <c r="F39" s="9">
        <v>15050</v>
      </c>
      <c r="G39" s="3">
        <v>15</v>
      </c>
      <c r="H39" s="3">
        <v>23</v>
      </c>
      <c r="I39" s="3">
        <v>2.4</v>
      </c>
      <c r="J39" s="5">
        <f t="shared" si="0"/>
        <v>3984.2456614346634</v>
      </c>
      <c r="K39" s="2">
        <v>37.473252000000002</v>
      </c>
      <c r="L39">
        <v>-4.4448850000000002</v>
      </c>
    </row>
    <row r="40" spans="1:12" ht="34.200000000000003" customHeight="1" thickBot="1" x14ac:dyDescent="0.35">
      <c r="A40" s="1">
        <v>1401304</v>
      </c>
      <c r="B40" s="2" t="s">
        <v>16</v>
      </c>
      <c r="C40" s="2">
        <v>4</v>
      </c>
      <c r="D40" s="2">
        <v>14940</v>
      </c>
      <c r="E40" s="9">
        <v>1679</v>
      </c>
      <c r="F40" s="9">
        <v>15050</v>
      </c>
      <c r="G40" s="3">
        <v>17.600000000000001</v>
      </c>
      <c r="H40" s="3">
        <v>18.899999999999999</v>
      </c>
      <c r="I40" s="3">
        <v>2.4</v>
      </c>
      <c r="J40" s="5">
        <f t="shared" si="0"/>
        <v>1644.9053641532714</v>
      </c>
      <c r="K40" s="2">
        <v>37.490012</v>
      </c>
      <c r="L40">
        <v>-4.4502240000000004</v>
      </c>
    </row>
    <row r="41" spans="1:12" ht="34.200000000000003" customHeight="1" thickBot="1" x14ac:dyDescent="0.35">
      <c r="A41" s="1">
        <v>1401401</v>
      </c>
      <c r="B41" s="2" t="s">
        <v>17</v>
      </c>
      <c r="C41" s="2">
        <v>1</v>
      </c>
      <c r="D41" s="2">
        <v>14660</v>
      </c>
      <c r="E41" s="9">
        <v>1337</v>
      </c>
      <c r="F41" s="9">
        <v>15050</v>
      </c>
      <c r="G41" s="3">
        <v>13.2</v>
      </c>
      <c r="H41" s="3">
        <v>26.9</v>
      </c>
      <c r="I41" s="3">
        <v>2.2999999999999998</v>
      </c>
      <c r="J41" s="5">
        <f t="shared" si="0"/>
        <v>1169.9221779865854</v>
      </c>
      <c r="K41" s="2">
        <v>37.894385999999997</v>
      </c>
      <c r="L41">
        <v>-4.3058699999999996</v>
      </c>
    </row>
    <row r="42" spans="1:12" ht="34.200000000000003" customHeight="1" thickBot="1" x14ac:dyDescent="0.35">
      <c r="A42" s="1">
        <v>1401402</v>
      </c>
      <c r="B42" s="2" t="s">
        <v>17</v>
      </c>
      <c r="C42" s="2">
        <v>2</v>
      </c>
      <c r="D42" s="2">
        <v>14660</v>
      </c>
      <c r="E42" s="9">
        <v>1460</v>
      </c>
      <c r="F42" s="9">
        <v>14350</v>
      </c>
      <c r="G42" s="3">
        <v>14</v>
      </c>
      <c r="H42" s="3">
        <v>25.6</v>
      </c>
      <c r="I42" s="3">
        <v>2.2999999999999998</v>
      </c>
      <c r="J42" s="5">
        <f t="shared" si="0"/>
        <v>1247.7721637978152</v>
      </c>
      <c r="K42" s="2">
        <v>37.826290999999998</v>
      </c>
      <c r="L42">
        <v>-4.33955</v>
      </c>
    </row>
    <row r="43" spans="1:12" ht="34.200000000000003" customHeight="1" thickBot="1" x14ac:dyDescent="0.35">
      <c r="A43" s="1">
        <v>1401501</v>
      </c>
      <c r="B43" s="2" t="s">
        <v>18</v>
      </c>
      <c r="C43" s="2">
        <v>1</v>
      </c>
      <c r="D43" s="2">
        <v>14810</v>
      </c>
      <c r="E43" s="9">
        <v>2308</v>
      </c>
      <c r="F43" s="9">
        <v>14350</v>
      </c>
      <c r="G43" s="3">
        <v>12.7</v>
      </c>
      <c r="H43" s="3">
        <v>24.5</v>
      </c>
      <c r="I43" s="3">
        <v>2.2000000000000002</v>
      </c>
      <c r="J43" s="5">
        <f t="shared" si="0"/>
        <v>2012.274108529263</v>
      </c>
      <c r="K43" s="2">
        <v>37.467903</v>
      </c>
      <c r="L43">
        <v>-4.2967040000000001</v>
      </c>
    </row>
    <row r="44" spans="1:12" ht="34.200000000000003" customHeight="1" thickBot="1" x14ac:dyDescent="0.35">
      <c r="A44" s="1">
        <v>1401601</v>
      </c>
      <c r="B44" s="2" t="s">
        <v>19</v>
      </c>
      <c r="C44" s="2">
        <v>1</v>
      </c>
      <c r="D44" s="2">
        <v>14445</v>
      </c>
      <c r="E44" s="9">
        <v>1425</v>
      </c>
      <c r="F44" s="9">
        <v>15050</v>
      </c>
      <c r="G44" s="3">
        <v>11.9</v>
      </c>
      <c r="H44" s="3">
        <v>28.9</v>
      </c>
      <c r="I44" s="3">
        <v>2.2000000000000002</v>
      </c>
      <c r="J44" s="5">
        <f t="shared" si="0"/>
        <v>1226.1971580433353</v>
      </c>
      <c r="K44" s="2">
        <v>38.314208000000001</v>
      </c>
      <c r="L44">
        <v>-4.3230019999999998</v>
      </c>
    </row>
    <row r="45" spans="1:12" ht="34.200000000000003" customHeight="1" thickBot="1" x14ac:dyDescent="0.35">
      <c r="A45" s="1">
        <v>1401701</v>
      </c>
      <c r="B45" s="2" t="s">
        <v>602</v>
      </c>
      <c r="C45" s="2">
        <v>1</v>
      </c>
      <c r="D45" s="2">
        <v>14100</v>
      </c>
      <c r="E45" s="9">
        <v>10102</v>
      </c>
      <c r="F45" s="9">
        <v>15050</v>
      </c>
      <c r="G45" s="3">
        <v>20.100000000000001</v>
      </c>
      <c r="H45" s="3">
        <v>17.2</v>
      </c>
      <c r="I45" s="3">
        <v>2.6</v>
      </c>
      <c r="J45" s="5">
        <f t="shared" si="0"/>
        <v>9913.2202161311252</v>
      </c>
      <c r="K45" s="2">
        <v>37.671143999999998</v>
      </c>
      <c r="L45">
        <v>-4.9322559999999998</v>
      </c>
    </row>
    <row r="46" spans="1:12" ht="34.200000000000003" customHeight="1" thickBot="1" x14ac:dyDescent="0.35">
      <c r="A46" s="1">
        <v>1401702</v>
      </c>
      <c r="B46" s="2" t="s">
        <v>602</v>
      </c>
      <c r="C46" s="2">
        <v>2</v>
      </c>
      <c r="D46" s="2">
        <v>14100</v>
      </c>
      <c r="E46" s="9">
        <v>2711</v>
      </c>
      <c r="F46" s="9">
        <v>14350</v>
      </c>
      <c r="G46" s="3">
        <v>16.7</v>
      </c>
      <c r="H46" s="3">
        <v>19.7</v>
      </c>
      <c r="I46" s="3">
        <v>2.4</v>
      </c>
      <c r="J46" s="5">
        <f t="shared" si="0"/>
        <v>2488.7984123125443</v>
      </c>
      <c r="K46" s="2">
        <v>37.641015000000003</v>
      </c>
      <c r="L46">
        <v>-4.9355630000000001</v>
      </c>
    </row>
    <row r="47" spans="1:12" ht="34.200000000000003" customHeight="1" thickBot="1" x14ac:dyDescent="0.35">
      <c r="A47" s="1">
        <v>1401703</v>
      </c>
      <c r="B47" s="2" t="s">
        <v>602</v>
      </c>
      <c r="C47" s="2">
        <v>3</v>
      </c>
      <c r="D47" s="2">
        <v>14100</v>
      </c>
      <c r="E47" s="9">
        <v>1513</v>
      </c>
      <c r="F47" s="9">
        <v>15050</v>
      </c>
      <c r="G47" s="3">
        <v>19.100000000000001</v>
      </c>
      <c r="H47" s="3">
        <v>19.7</v>
      </c>
      <c r="I47" s="3">
        <v>2.4</v>
      </c>
      <c r="J47" s="5">
        <f t="shared" si="0"/>
        <v>1492.7888428474978</v>
      </c>
      <c r="K47" s="2">
        <v>37.694293999999999</v>
      </c>
      <c r="L47">
        <v>-4.9581600000000003</v>
      </c>
    </row>
    <row r="48" spans="1:12" ht="34.200000000000003" customHeight="1" thickBot="1" x14ac:dyDescent="0.35">
      <c r="A48" s="1">
        <v>1401801</v>
      </c>
      <c r="B48" s="2" t="s">
        <v>603</v>
      </c>
      <c r="C48" s="2">
        <v>1</v>
      </c>
      <c r="D48" s="2">
        <v>14620</v>
      </c>
      <c r="E48" s="9">
        <v>1257</v>
      </c>
      <c r="F48" s="9">
        <v>16450</v>
      </c>
      <c r="G48" s="3">
        <v>14.8</v>
      </c>
      <c r="H48" s="3">
        <v>25.5</v>
      </c>
      <c r="I48" s="3">
        <v>2.4</v>
      </c>
      <c r="J48" s="5">
        <f t="shared" si="0"/>
        <v>1217.8371190515184</v>
      </c>
      <c r="K48" s="2">
        <v>37.939906999999998</v>
      </c>
      <c r="L48">
        <v>-4.4989049999999997</v>
      </c>
    </row>
    <row r="49" spans="1:12" ht="34.200000000000003" customHeight="1" thickBot="1" x14ac:dyDescent="0.35">
      <c r="A49" s="1">
        <v>1401802</v>
      </c>
      <c r="B49" s="2" t="s">
        <v>603</v>
      </c>
      <c r="C49" s="2">
        <v>2</v>
      </c>
      <c r="D49" s="2">
        <v>14620</v>
      </c>
      <c r="E49" s="9">
        <v>3066</v>
      </c>
      <c r="F49" s="9">
        <v>17150</v>
      </c>
      <c r="G49" s="3">
        <v>17.7</v>
      </c>
      <c r="H49" s="3">
        <v>20.399999999999999</v>
      </c>
      <c r="I49" s="3">
        <v>2.5</v>
      </c>
      <c r="J49" s="5">
        <f t="shared" si="0"/>
        <v>3306.1404552104946</v>
      </c>
      <c r="K49" s="2">
        <v>37.945022000000002</v>
      </c>
      <c r="L49">
        <v>-4.4969650000000003</v>
      </c>
    </row>
    <row r="50" spans="1:12" ht="34.200000000000003" customHeight="1" thickBot="1" x14ac:dyDescent="0.35">
      <c r="A50" s="1">
        <v>1401901</v>
      </c>
      <c r="B50" s="2" t="s">
        <v>22</v>
      </c>
      <c r="C50" s="2">
        <v>1</v>
      </c>
      <c r="D50" s="2">
        <v>14840</v>
      </c>
      <c r="E50" s="9">
        <v>1158</v>
      </c>
      <c r="F50" s="9">
        <v>15050</v>
      </c>
      <c r="G50" s="3">
        <v>13</v>
      </c>
      <c r="H50" s="3">
        <v>23.9</v>
      </c>
      <c r="I50" s="3">
        <v>2.4</v>
      </c>
      <c r="J50" s="5">
        <f t="shared" si="0"/>
        <v>1024.1400063936196</v>
      </c>
      <c r="K50" s="2">
        <v>37.688597000000001</v>
      </c>
      <c r="L50">
        <v>-4.4847780000000004</v>
      </c>
    </row>
    <row r="51" spans="1:12" ht="34.200000000000003" customHeight="1" thickBot="1" x14ac:dyDescent="0.35">
      <c r="A51" s="1">
        <v>1401902</v>
      </c>
      <c r="B51" s="2" t="s">
        <v>22</v>
      </c>
      <c r="C51" s="2">
        <v>2</v>
      </c>
      <c r="D51" s="2">
        <v>14840</v>
      </c>
      <c r="E51" s="9">
        <v>1909</v>
      </c>
      <c r="F51" s="9">
        <v>14350</v>
      </c>
      <c r="G51" s="3">
        <v>16.5</v>
      </c>
      <c r="H51" s="3">
        <v>21</v>
      </c>
      <c r="I51" s="3">
        <v>2.6</v>
      </c>
      <c r="J51" s="5">
        <f t="shared" si="0"/>
        <v>1657.7411422923221</v>
      </c>
      <c r="K51" s="2">
        <v>37.694085999999999</v>
      </c>
      <c r="L51">
        <v>-4.4812219999999998</v>
      </c>
    </row>
    <row r="52" spans="1:12" ht="34.200000000000003" customHeight="1" thickBot="1" x14ac:dyDescent="0.35">
      <c r="A52" s="1">
        <v>1401903</v>
      </c>
      <c r="B52" s="2" t="s">
        <v>22</v>
      </c>
      <c r="C52" s="2">
        <v>3</v>
      </c>
      <c r="D52" s="2">
        <v>14840</v>
      </c>
      <c r="E52" s="9">
        <v>1367</v>
      </c>
      <c r="F52" s="9">
        <v>14350</v>
      </c>
      <c r="G52" s="3">
        <v>15.8</v>
      </c>
      <c r="H52" s="3">
        <v>20.6</v>
      </c>
      <c r="I52" s="3">
        <v>2.6</v>
      </c>
      <c r="J52" s="5">
        <f t="shared" si="0"/>
        <v>1183.3490842336525</v>
      </c>
      <c r="K52" s="2">
        <v>37.682246999999997</v>
      </c>
      <c r="L52">
        <v>-4.4795119999999997</v>
      </c>
    </row>
    <row r="53" spans="1:12" ht="34.200000000000003" customHeight="1" thickBot="1" x14ac:dyDescent="0.35">
      <c r="A53" s="1">
        <v>1401904</v>
      </c>
      <c r="B53" s="2" t="s">
        <v>22</v>
      </c>
      <c r="C53" s="2">
        <v>4</v>
      </c>
      <c r="D53" s="2">
        <v>14840</v>
      </c>
      <c r="E53" s="9">
        <v>2018</v>
      </c>
      <c r="F53" s="9">
        <v>15750</v>
      </c>
      <c r="G53" s="3">
        <v>18.5</v>
      </c>
      <c r="H53" s="3">
        <v>18.600000000000001</v>
      </c>
      <c r="I53" s="3">
        <v>2.6</v>
      </c>
      <c r="J53" s="5">
        <f t="shared" si="0"/>
        <v>2011.9756634497548</v>
      </c>
      <c r="K53" s="2">
        <v>37.690223000000003</v>
      </c>
      <c r="L53">
        <v>-4.4811389999999998</v>
      </c>
    </row>
    <row r="54" spans="1:12" ht="34.200000000000003" customHeight="1" thickBot="1" x14ac:dyDescent="0.35">
      <c r="A54" s="1">
        <v>1401905</v>
      </c>
      <c r="B54" s="2" t="s">
        <v>22</v>
      </c>
      <c r="C54" s="2">
        <v>5</v>
      </c>
      <c r="D54" s="2">
        <v>14840</v>
      </c>
      <c r="E54" s="9">
        <v>1103</v>
      </c>
      <c r="F54" s="9">
        <v>14350</v>
      </c>
      <c r="G54" s="3">
        <v>13.9</v>
      </c>
      <c r="H54" s="3">
        <v>22</v>
      </c>
      <c r="I54" s="3">
        <v>2.6</v>
      </c>
      <c r="J54" s="5">
        <f t="shared" si="0"/>
        <v>921.71878759615277</v>
      </c>
      <c r="K54" s="2">
        <v>37.692777</v>
      </c>
      <c r="L54">
        <v>-4.4731069999999997</v>
      </c>
    </row>
    <row r="55" spans="1:12" ht="34.200000000000003" customHeight="1" thickBot="1" x14ac:dyDescent="0.35">
      <c r="A55" s="1">
        <v>1402001</v>
      </c>
      <c r="B55" s="2" t="s">
        <v>23</v>
      </c>
      <c r="C55" s="2">
        <v>1</v>
      </c>
      <c r="D55" s="2">
        <v>14448</v>
      </c>
      <c r="E55" s="9">
        <v>353</v>
      </c>
      <c r="F55" s="9">
        <v>15750</v>
      </c>
      <c r="G55" s="3">
        <v>7.4</v>
      </c>
      <c r="H55" s="3">
        <v>37.4</v>
      </c>
      <c r="I55" s="3">
        <v>2</v>
      </c>
      <c r="J55" s="5">
        <f t="shared" si="0"/>
        <v>281.17745433212377</v>
      </c>
      <c r="K55" s="2">
        <v>38.405352000000001</v>
      </c>
      <c r="L55">
        <v>-4.4918360000000002</v>
      </c>
    </row>
    <row r="56" spans="1:12" ht="34.200000000000003" customHeight="1" thickBot="1" x14ac:dyDescent="0.35">
      <c r="A56" s="1">
        <v>1402101</v>
      </c>
      <c r="B56" s="2" t="s">
        <v>24</v>
      </c>
      <c r="C56" s="2">
        <v>1</v>
      </c>
      <c r="D56" s="2">
        <v>14001</v>
      </c>
      <c r="E56" s="9">
        <v>42257</v>
      </c>
      <c r="F56" s="9">
        <v>20650</v>
      </c>
      <c r="G56" s="3">
        <v>16.399999999999999</v>
      </c>
      <c r="H56" s="3">
        <v>23</v>
      </c>
      <c r="I56" s="3">
        <v>2.6</v>
      </c>
      <c r="J56" s="5">
        <f t="shared" si="0"/>
        <v>51644.147004250131</v>
      </c>
      <c r="K56" s="2">
        <v>37.889479000000001</v>
      </c>
      <c r="L56">
        <v>-4.7748200000000001</v>
      </c>
    </row>
    <row r="57" spans="1:12" ht="34.200000000000003" customHeight="1" thickBot="1" x14ac:dyDescent="0.35">
      <c r="A57" s="1">
        <v>1402102</v>
      </c>
      <c r="B57" s="2" t="s">
        <v>24</v>
      </c>
      <c r="C57" s="2">
        <v>2</v>
      </c>
      <c r="D57" s="2">
        <v>14003</v>
      </c>
      <c r="E57" s="9">
        <v>55293</v>
      </c>
      <c r="F57" s="9">
        <v>16450</v>
      </c>
      <c r="G57" s="3">
        <v>15.8</v>
      </c>
      <c r="H57" s="3">
        <v>23.2</v>
      </c>
      <c r="I57" s="3">
        <v>2.5</v>
      </c>
      <c r="J57" s="5">
        <f t="shared" si="0"/>
        <v>54427.605395980856</v>
      </c>
      <c r="K57" s="2">
        <v>37.889079000000002</v>
      </c>
      <c r="L57">
        <v>-4.7696059999999996</v>
      </c>
    </row>
    <row r="58" spans="1:12" ht="34.200000000000003" customHeight="1" thickBot="1" x14ac:dyDescent="0.35">
      <c r="A58" s="1">
        <v>1402103</v>
      </c>
      <c r="B58" s="2" t="s">
        <v>24</v>
      </c>
      <c r="C58" s="2">
        <v>3</v>
      </c>
      <c r="D58" s="2">
        <v>14010</v>
      </c>
      <c r="E58" s="9">
        <v>2923</v>
      </c>
      <c r="F58" s="9">
        <v>21350</v>
      </c>
      <c r="G58" s="3">
        <v>14</v>
      </c>
      <c r="H58" s="3">
        <v>23.2</v>
      </c>
      <c r="I58" s="3">
        <v>2.4</v>
      </c>
      <c r="J58" s="5">
        <f t="shared" si="0"/>
        <v>3737.2238468389087</v>
      </c>
      <c r="K58" s="2">
        <v>37.885907000000003</v>
      </c>
      <c r="L58">
        <v>-4.7743979999999997</v>
      </c>
    </row>
    <row r="59" spans="1:12" ht="34.200000000000003" customHeight="1" thickBot="1" x14ac:dyDescent="0.35">
      <c r="A59" s="1">
        <v>1402104</v>
      </c>
      <c r="B59" s="2" t="s">
        <v>24</v>
      </c>
      <c r="C59" s="2">
        <v>4</v>
      </c>
      <c r="D59" s="2">
        <v>14007</v>
      </c>
      <c r="E59" s="9">
        <v>5653</v>
      </c>
      <c r="F59" s="9">
        <v>17850</v>
      </c>
      <c r="G59" s="3">
        <v>16.100000000000001</v>
      </c>
      <c r="H59" s="3">
        <v>19.3</v>
      </c>
      <c r="I59" s="3">
        <v>2.4</v>
      </c>
      <c r="J59" s="5">
        <f t="shared" si="0"/>
        <v>6442.1247617146555</v>
      </c>
      <c r="K59" s="2">
        <v>37.884501</v>
      </c>
      <c r="L59">
        <v>-4.7703100000000003</v>
      </c>
    </row>
    <row r="60" spans="1:12" ht="34.200000000000003" customHeight="1" thickBot="1" x14ac:dyDescent="0.35">
      <c r="A60" s="1">
        <v>1402105</v>
      </c>
      <c r="B60" s="2" t="s">
        <v>24</v>
      </c>
      <c r="C60" s="2">
        <v>5</v>
      </c>
      <c r="D60" s="2">
        <v>14006</v>
      </c>
      <c r="E60" s="9">
        <v>34038</v>
      </c>
      <c r="F60" s="9">
        <v>15750</v>
      </c>
      <c r="G60" s="3">
        <v>15.1</v>
      </c>
      <c r="H60" s="3">
        <v>21.9</v>
      </c>
      <c r="I60" s="3">
        <v>2.5</v>
      </c>
      <c r="J60" s="5">
        <f t="shared" si="0"/>
        <v>32287.371376420069</v>
      </c>
      <c r="K60" s="2">
        <v>37.882542000000001</v>
      </c>
      <c r="L60">
        <v>-4.7691949999999999</v>
      </c>
    </row>
    <row r="61" spans="1:12" ht="34.200000000000003" customHeight="1" thickBot="1" x14ac:dyDescent="0.35">
      <c r="A61" s="1">
        <v>1402106</v>
      </c>
      <c r="B61" s="2" t="s">
        <v>24</v>
      </c>
      <c r="C61" s="2">
        <v>6</v>
      </c>
      <c r="D61" s="2">
        <v>14004</v>
      </c>
      <c r="E61" s="9">
        <v>72299</v>
      </c>
      <c r="F61" s="9">
        <v>20650</v>
      </c>
      <c r="G61" s="3">
        <v>19.8</v>
      </c>
      <c r="H61" s="3">
        <v>17.3</v>
      </c>
      <c r="I61" s="3">
        <v>2.6</v>
      </c>
      <c r="J61" s="5">
        <f t="shared" si="0"/>
        <v>96968.734267124892</v>
      </c>
      <c r="K61" s="2">
        <v>37.886178000000001</v>
      </c>
      <c r="L61">
        <v>-4.7813460000000001</v>
      </c>
    </row>
    <row r="62" spans="1:12" ht="34.200000000000003" customHeight="1" thickBot="1" x14ac:dyDescent="0.35">
      <c r="A62" s="1">
        <v>1402107</v>
      </c>
      <c r="B62" s="2" t="s">
        <v>24</v>
      </c>
      <c r="C62" s="2">
        <v>7</v>
      </c>
      <c r="D62" s="2">
        <v>14005</v>
      </c>
      <c r="E62" s="9">
        <v>4888</v>
      </c>
      <c r="F62" s="9">
        <v>24850</v>
      </c>
      <c r="G62" s="3">
        <v>12.9</v>
      </c>
      <c r="H62" s="3">
        <v>26.6</v>
      </c>
      <c r="I62" s="3">
        <v>2.2000000000000002</v>
      </c>
      <c r="J62" s="5">
        <f t="shared" si="0"/>
        <v>7221.03141842061</v>
      </c>
      <c r="K62" s="2">
        <v>37.885753000000001</v>
      </c>
      <c r="L62">
        <v>-4.7780139999999998</v>
      </c>
    </row>
    <row r="63" spans="1:12" ht="34.200000000000003" customHeight="1" thickBot="1" x14ac:dyDescent="0.35">
      <c r="A63" s="1">
        <v>1402108</v>
      </c>
      <c r="B63" s="2" t="s">
        <v>24</v>
      </c>
      <c r="C63" s="2">
        <v>8</v>
      </c>
      <c r="D63" s="2">
        <v>14009</v>
      </c>
      <c r="E63" s="9">
        <v>3597</v>
      </c>
      <c r="F63" s="9">
        <v>19950</v>
      </c>
      <c r="G63" s="3">
        <v>12.9</v>
      </c>
      <c r="H63" s="3">
        <v>21.2</v>
      </c>
      <c r="I63" s="3">
        <v>2.4</v>
      </c>
      <c r="J63" s="5">
        <f t="shared" si="0"/>
        <v>4339.9951246294031</v>
      </c>
      <c r="K63" s="2">
        <v>37.883290000000002</v>
      </c>
      <c r="L63">
        <v>-4.7747640000000002</v>
      </c>
    </row>
    <row r="64" spans="1:12" ht="34.200000000000003" customHeight="1" thickBot="1" x14ac:dyDescent="0.35">
      <c r="A64" s="1">
        <v>1402109</v>
      </c>
      <c r="B64" s="2" t="s">
        <v>24</v>
      </c>
      <c r="C64" s="2">
        <v>9</v>
      </c>
      <c r="D64" s="2">
        <v>14014</v>
      </c>
      <c r="E64" s="9">
        <v>39124</v>
      </c>
      <c r="F64" s="9">
        <v>14350</v>
      </c>
      <c r="G64" s="3">
        <v>17.5</v>
      </c>
      <c r="H64" s="3">
        <v>18.899999999999999</v>
      </c>
      <c r="I64" s="3">
        <v>2.5</v>
      </c>
      <c r="J64" s="5">
        <f t="shared" si="0"/>
        <v>35772.084741858816</v>
      </c>
      <c r="K64" s="2">
        <v>37.878746</v>
      </c>
      <c r="L64">
        <v>-4.7798990000000003</v>
      </c>
    </row>
    <row r="65" spans="1:12" ht="34.200000000000003" customHeight="1" thickBot="1" x14ac:dyDescent="0.35">
      <c r="A65" s="1">
        <v>1402110</v>
      </c>
      <c r="B65" s="2" t="s">
        <v>24</v>
      </c>
      <c r="C65" s="2">
        <v>10</v>
      </c>
      <c r="D65" s="2">
        <v>14012</v>
      </c>
      <c r="E65" s="9">
        <v>56991</v>
      </c>
      <c r="F65" s="9">
        <v>19950</v>
      </c>
      <c r="G65" s="3">
        <v>15.3</v>
      </c>
      <c r="H65" s="3">
        <v>21.9</v>
      </c>
      <c r="I65" s="3">
        <v>2.5</v>
      </c>
      <c r="J65" s="5">
        <f t="shared" si="0"/>
        <v>68622.76900694253</v>
      </c>
      <c r="K65" s="2">
        <v>37.882744000000002</v>
      </c>
      <c r="L65">
        <v>-4.7844350000000002</v>
      </c>
    </row>
    <row r="66" spans="1:12" ht="34.200000000000003" customHeight="1" thickBot="1" x14ac:dyDescent="0.35">
      <c r="A66" s="1">
        <v>1402201</v>
      </c>
      <c r="B66" s="2" t="s">
        <v>25</v>
      </c>
      <c r="C66" s="2">
        <v>1</v>
      </c>
      <c r="D66" s="2">
        <v>14860</v>
      </c>
      <c r="E66" s="9">
        <v>2962</v>
      </c>
      <c r="F66" s="9">
        <v>15750</v>
      </c>
      <c r="G66" s="3">
        <v>16</v>
      </c>
      <c r="H66" s="3">
        <v>20.399999999999999</v>
      </c>
      <c r="I66" s="3">
        <v>2.6</v>
      </c>
      <c r="J66" s="5">
        <f t="shared" si="0"/>
        <v>2826.0446526169849</v>
      </c>
      <c r="K66" s="2">
        <v>37.552844999999998</v>
      </c>
      <c r="L66">
        <v>-4.3694600000000001</v>
      </c>
    </row>
    <row r="67" spans="1:12" ht="34.200000000000003" customHeight="1" thickBot="1" x14ac:dyDescent="0.35">
      <c r="A67" s="1">
        <v>1402202</v>
      </c>
      <c r="B67" s="2" t="s">
        <v>25</v>
      </c>
      <c r="C67" s="2">
        <v>2</v>
      </c>
      <c r="D67" s="2">
        <v>14860</v>
      </c>
      <c r="E67" s="9">
        <v>1516</v>
      </c>
      <c r="F67" s="9">
        <v>14350</v>
      </c>
      <c r="G67" s="3">
        <v>12.4</v>
      </c>
      <c r="H67" s="3">
        <v>25.4</v>
      </c>
      <c r="I67" s="3">
        <v>2.4</v>
      </c>
      <c r="J67" s="5">
        <f t="shared" si="0"/>
        <v>1248.2653724487336</v>
      </c>
      <c r="K67" s="2">
        <v>37.553514</v>
      </c>
      <c r="L67">
        <v>-4.3599030000000001</v>
      </c>
    </row>
    <row r="68" spans="1:12" ht="34.200000000000003" customHeight="1" thickBot="1" x14ac:dyDescent="0.35">
      <c r="A68" s="1">
        <v>1402301</v>
      </c>
      <c r="B68" s="2" t="s">
        <v>26</v>
      </c>
      <c r="C68" s="2">
        <v>1</v>
      </c>
      <c r="D68" s="2">
        <v>14460</v>
      </c>
      <c r="E68" s="9">
        <v>1394</v>
      </c>
      <c r="F68" s="9">
        <v>15750</v>
      </c>
      <c r="G68" s="3">
        <v>17.3</v>
      </c>
      <c r="H68" s="3">
        <v>23.2</v>
      </c>
      <c r="I68" s="3">
        <v>2.2999999999999998</v>
      </c>
      <c r="J68" s="5">
        <f t="shared" si="0"/>
        <v>1391.910228556862</v>
      </c>
      <c r="K68" s="2">
        <v>38.472766999999997</v>
      </c>
      <c r="L68">
        <v>-4.8513419999999998</v>
      </c>
    </row>
    <row r="69" spans="1:12" ht="34.200000000000003" customHeight="1" thickBot="1" x14ac:dyDescent="0.35">
      <c r="A69" s="1">
        <v>1402302</v>
      </c>
      <c r="B69" s="2" t="s">
        <v>26</v>
      </c>
      <c r="C69" s="2">
        <v>2</v>
      </c>
      <c r="D69" s="2">
        <v>14460</v>
      </c>
      <c r="E69" s="9">
        <v>974</v>
      </c>
      <c r="F69" s="9">
        <v>14700</v>
      </c>
      <c r="G69" s="3">
        <v>15.6</v>
      </c>
      <c r="H69" s="3">
        <v>21.6</v>
      </c>
      <c r="I69" s="3">
        <v>2.1</v>
      </c>
      <c r="J69" s="5">
        <f t="shared" si="0"/>
        <v>948.93548427831547</v>
      </c>
      <c r="K69" s="2">
        <v>38.431494000000001</v>
      </c>
      <c r="L69">
        <v>-4.8915129999999998</v>
      </c>
    </row>
    <row r="70" spans="1:12" ht="34.200000000000003" customHeight="1" thickBot="1" x14ac:dyDescent="0.35">
      <c r="A70" s="1">
        <v>1402401</v>
      </c>
      <c r="B70" s="2" t="s">
        <v>27</v>
      </c>
      <c r="C70" s="2">
        <v>1</v>
      </c>
      <c r="D70" s="2">
        <v>14913</v>
      </c>
      <c r="E70" s="9">
        <v>1171</v>
      </c>
      <c r="F70" s="9">
        <v>15050</v>
      </c>
      <c r="G70" s="3">
        <v>15.2</v>
      </c>
      <c r="H70" s="3">
        <v>22.5</v>
      </c>
      <c r="I70" s="3">
        <v>2.2000000000000002</v>
      </c>
      <c r="J70" s="5">
        <f t="shared" si="0"/>
        <v>1125.3923994146919</v>
      </c>
      <c r="K70" s="2">
        <v>37.287149999999997</v>
      </c>
      <c r="L70">
        <v>-4.4995520000000004</v>
      </c>
    </row>
    <row r="71" spans="1:12" ht="34.200000000000003" customHeight="1" thickBot="1" x14ac:dyDescent="0.35">
      <c r="A71" s="1">
        <v>1402402</v>
      </c>
      <c r="B71" s="2" t="s">
        <v>27</v>
      </c>
      <c r="C71" s="2">
        <v>2</v>
      </c>
      <c r="D71" s="2">
        <v>14913</v>
      </c>
      <c r="E71" s="9">
        <v>1067</v>
      </c>
      <c r="F71" s="9">
        <v>13650</v>
      </c>
      <c r="G71" s="3">
        <v>16.600000000000001</v>
      </c>
      <c r="H71" s="3">
        <v>21</v>
      </c>
      <c r="I71" s="3">
        <v>2.2999999999999998</v>
      </c>
      <c r="J71" s="5">
        <f t="shared" si="0"/>
        <v>938.06565163785763</v>
      </c>
      <c r="K71" s="2">
        <v>37.274946999999997</v>
      </c>
      <c r="L71">
        <v>-4.4654689999999997</v>
      </c>
    </row>
    <row r="72" spans="1:12" ht="34.200000000000003" customHeight="1" thickBot="1" x14ac:dyDescent="0.35">
      <c r="A72" s="1">
        <v>1402501</v>
      </c>
      <c r="B72" s="2" t="s">
        <v>28</v>
      </c>
      <c r="C72" s="2">
        <v>1</v>
      </c>
      <c r="D72" s="2">
        <v>14830</v>
      </c>
      <c r="E72" s="9">
        <v>1102</v>
      </c>
      <c r="F72" s="9">
        <v>15750</v>
      </c>
      <c r="G72" s="3">
        <v>13.1</v>
      </c>
      <c r="H72" s="3">
        <v>27.4</v>
      </c>
      <c r="I72" s="3">
        <v>2.4</v>
      </c>
      <c r="J72" s="5">
        <f t="shared" ref="J72:J135" si="1">E72*(F72/$H$1)*(1+(G72/100)-(H72/100))*($H$2/I72)^0.5</f>
        <v>981.02379784330014</v>
      </c>
      <c r="K72" s="2">
        <v>37.694088000000001</v>
      </c>
      <c r="L72">
        <v>-4.5343920000000004</v>
      </c>
    </row>
    <row r="73" spans="1:12" ht="34.200000000000003" customHeight="1" thickBot="1" x14ac:dyDescent="0.35">
      <c r="A73" s="1">
        <v>1402502</v>
      </c>
      <c r="B73" s="2" t="s">
        <v>28</v>
      </c>
      <c r="C73" s="2">
        <v>2</v>
      </c>
      <c r="D73" s="2">
        <v>14830</v>
      </c>
      <c r="E73" s="9">
        <v>826</v>
      </c>
      <c r="F73" s="9">
        <v>15750</v>
      </c>
      <c r="G73" s="3">
        <v>14.3</v>
      </c>
      <c r="H73" s="3">
        <v>30.8</v>
      </c>
      <c r="I73" s="3">
        <v>2.5</v>
      </c>
      <c r="J73" s="5">
        <f t="shared" si="1"/>
        <v>701.9711531706007</v>
      </c>
      <c r="K73" s="2">
        <v>37.680768</v>
      </c>
      <c r="L73">
        <v>-4.5536289999999999</v>
      </c>
    </row>
    <row r="74" spans="1:12" ht="34.200000000000003" customHeight="1" thickBot="1" x14ac:dyDescent="0.35">
      <c r="A74" s="1">
        <v>1402503</v>
      </c>
      <c r="B74" s="2" t="s">
        <v>28</v>
      </c>
      <c r="C74" s="2">
        <v>3</v>
      </c>
      <c r="D74" s="2">
        <v>14830</v>
      </c>
      <c r="E74" s="9">
        <v>1250</v>
      </c>
      <c r="F74" s="9">
        <v>15050</v>
      </c>
      <c r="G74" s="3">
        <v>12.1</v>
      </c>
      <c r="H74" s="3">
        <v>28</v>
      </c>
      <c r="I74" s="3">
        <v>2.4</v>
      </c>
      <c r="J74" s="5">
        <f t="shared" si="1"/>
        <v>1043.4678600641732</v>
      </c>
      <c r="K74" s="2">
        <v>37.655385000000003</v>
      </c>
      <c r="L74">
        <v>-4.5690660000000003</v>
      </c>
    </row>
    <row r="75" spans="1:12" ht="34.200000000000003" customHeight="1" thickBot="1" x14ac:dyDescent="0.35">
      <c r="A75" s="1">
        <v>1402601</v>
      </c>
      <c r="B75" s="2" t="s">
        <v>29</v>
      </c>
      <c r="C75" s="2">
        <v>1</v>
      </c>
      <c r="D75" s="2">
        <v>14220</v>
      </c>
      <c r="E75" s="9">
        <v>719</v>
      </c>
      <c r="F75" s="9">
        <v>16450</v>
      </c>
      <c r="G75" s="3">
        <v>16.3</v>
      </c>
      <c r="H75" s="3">
        <v>20.7</v>
      </c>
      <c r="I75" s="3">
        <v>2.5</v>
      </c>
      <c r="J75" s="5">
        <f t="shared" si="1"/>
        <v>730.67604539795229</v>
      </c>
      <c r="K75" s="2">
        <v>38.186470999999997</v>
      </c>
      <c r="L75">
        <v>-5.0192050000000004</v>
      </c>
    </row>
    <row r="76" spans="1:12" ht="34.200000000000003" customHeight="1" thickBot="1" x14ac:dyDescent="0.35">
      <c r="A76" s="1">
        <v>1402602</v>
      </c>
      <c r="B76" s="2" t="s">
        <v>29</v>
      </c>
      <c r="C76" s="2">
        <v>2</v>
      </c>
      <c r="D76" s="2">
        <v>14220</v>
      </c>
      <c r="E76" s="9">
        <v>666</v>
      </c>
      <c r="F76" s="9">
        <v>16100</v>
      </c>
      <c r="G76" s="3">
        <v>12.3</v>
      </c>
      <c r="H76" s="3">
        <v>24.8</v>
      </c>
      <c r="I76" s="3">
        <v>2.2000000000000002</v>
      </c>
      <c r="J76" s="5">
        <f t="shared" si="1"/>
        <v>646.30721892885936</v>
      </c>
      <c r="K76" s="2">
        <v>38.132671999999999</v>
      </c>
      <c r="L76">
        <v>-5.0765219999999998</v>
      </c>
    </row>
    <row r="77" spans="1:12" ht="34.200000000000003" customHeight="1" thickBot="1" x14ac:dyDescent="0.35">
      <c r="A77" s="1">
        <v>1402603</v>
      </c>
      <c r="B77" s="2" t="s">
        <v>29</v>
      </c>
      <c r="C77" s="2">
        <v>3</v>
      </c>
      <c r="D77" s="2">
        <v>14220</v>
      </c>
      <c r="E77" s="9">
        <v>815</v>
      </c>
      <c r="F77" s="9">
        <v>17150</v>
      </c>
      <c r="G77" s="3">
        <v>17.100000000000001</v>
      </c>
      <c r="H77" s="3">
        <v>25.2</v>
      </c>
      <c r="I77" s="3">
        <v>2.5</v>
      </c>
      <c r="J77" s="5">
        <f t="shared" si="1"/>
        <v>830.05989131395438</v>
      </c>
      <c r="K77" s="2">
        <v>38.188361</v>
      </c>
      <c r="L77">
        <v>-5.0235500000000002</v>
      </c>
    </row>
    <row r="78" spans="1:12" ht="34.200000000000003" customHeight="1" thickBot="1" x14ac:dyDescent="0.35">
      <c r="A78" s="1">
        <v>1490101</v>
      </c>
      <c r="B78" s="2" t="s">
        <v>79</v>
      </c>
      <c r="C78" s="2">
        <v>1</v>
      </c>
      <c r="D78" s="2">
        <v>14110</v>
      </c>
      <c r="E78" s="9">
        <v>1065</v>
      </c>
      <c r="F78" s="9">
        <v>14350</v>
      </c>
      <c r="G78" s="3">
        <v>14.9</v>
      </c>
      <c r="H78" s="3">
        <v>23.1</v>
      </c>
      <c r="I78" s="3">
        <v>2.4</v>
      </c>
      <c r="J78" s="5">
        <f t="shared" si="1"/>
        <v>925.29615646282809</v>
      </c>
      <c r="K78" s="2">
        <v>37.674411999999997</v>
      </c>
      <c r="L78">
        <v>-4.7077790000000004</v>
      </c>
    </row>
    <row r="79" spans="1:12" ht="34.200000000000003" customHeight="1" thickBot="1" x14ac:dyDescent="0.35">
      <c r="A79" s="1">
        <v>1402701</v>
      </c>
      <c r="B79" s="2" t="s">
        <v>30</v>
      </c>
      <c r="C79" s="2">
        <v>1</v>
      </c>
      <c r="D79" s="2">
        <v>14520</v>
      </c>
      <c r="E79" s="9">
        <v>4544</v>
      </c>
      <c r="F79" s="9">
        <v>17150</v>
      </c>
      <c r="G79" s="3">
        <v>17.399999999999999</v>
      </c>
      <c r="H79" s="3">
        <v>19.100000000000001</v>
      </c>
      <c r="I79" s="3">
        <v>2.5</v>
      </c>
      <c r="J79" s="5">
        <f t="shared" si="1"/>
        <v>4950.2615935517906</v>
      </c>
      <c r="K79" s="2">
        <v>37.669995999999998</v>
      </c>
      <c r="L79">
        <v>-4.7276369999999996</v>
      </c>
    </row>
    <row r="80" spans="1:12" ht="34.200000000000003" customHeight="1" thickBot="1" x14ac:dyDescent="0.35">
      <c r="A80" s="1">
        <v>1402702</v>
      </c>
      <c r="B80" s="2" t="s">
        <v>30</v>
      </c>
      <c r="C80" s="2">
        <v>2</v>
      </c>
      <c r="D80" s="2">
        <v>14520</v>
      </c>
      <c r="E80" s="9">
        <v>3056</v>
      </c>
      <c r="F80" s="9">
        <v>17150</v>
      </c>
      <c r="G80" s="3">
        <v>17.5</v>
      </c>
      <c r="H80" s="3">
        <v>21.5</v>
      </c>
      <c r="I80" s="3">
        <v>2.5</v>
      </c>
      <c r="J80" s="5">
        <f t="shared" si="1"/>
        <v>3251.3288073075255</v>
      </c>
      <c r="K80" s="2">
        <v>37.696348999999998</v>
      </c>
      <c r="L80">
        <v>-4.7252409999999996</v>
      </c>
    </row>
    <row r="81" spans="1:12" ht="34.200000000000003" customHeight="1" thickBot="1" x14ac:dyDescent="0.35">
      <c r="A81" s="1">
        <v>1402703</v>
      </c>
      <c r="B81" s="2" t="s">
        <v>30</v>
      </c>
      <c r="C81" s="2">
        <v>3</v>
      </c>
      <c r="D81" s="2">
        <v>14520</v>
      </c>
      <c r="E81" s="9">
        <v>2035</v>
      </c>
      <c r="F81" s="9">
        <v>15050</v>
      </c>
      <c r="G81" s="3">
        <v>15.9</v>
      </c>
      <c r="H81" s="3">
        <v>22.1</v>
      </c>
      <c r="I81" s="3">
        <v>2.4</v>
      </c>
      <c r="J81" s="5">
        <f t="shared" si="1"/>
        <v>1894.6994105363108</v>
      </c>
      <c r="K81" s="2">
        <v>37.675597000000003</v>
      </c>
      <c r="L81">
        <v>-5.1429720000000003</v>
      </c>
    </row>
    <row r="82" spans="1:12" ht="34.200000000000003" customHeight="1" thickBot="1" x14ac:dyDescent="0.35">
      <c r="A82" s="1">
        <v>1402801</v>
      </c>
      <c r="B82" s="2" t="s">
        <v>31</v>
      </c>
      <c r="C82" s="2">
        <v>1</v>
      </c>
      <c r="D82" s="2">
        <v>14480</v>
      </c>
      <c r="E82" s="9">
        <v>338</v>
      </c>
      <c r="F82" s="9">
        <v>14700</v>
      </c>
      <c r="G82" s="3">
        <v>12.4</v>
      </c>
      <c r="H82" s="3">
        <v>28.1</v>
      </c>
      <c r="I82" s="3">
        <v>1.9</v>
      </c>
      <c r="J82" s="5">
        <f t="shared" si="1"/>
        <v>310.47525908367135</v>
      </c>
      <c r="K82" s="2">
        <v>38.419567999999998</v>
      </c>
      <c r="L82">
        <v>-5.0485129999999998</v>
      </c>
    </row>
    <row r="83" spans="1:12" ht="34.200000000000003" customHeight="1" thickBot="1" x14ac:dyDescent="0.35">
      <c r="A83" s="1">
        <v>1402901</v>
      </c>
      <c r="B83" s="2" t="s">
        <v>32</v>
      </c>
      <c r="C83" s="2">
        <v>1</v>
      </c>
      <c r="D83" s="2">
        <v>14290</v>
      </c>
      <c r="E83" s="9">
        <v>1079</v>
      </c>
      <c r="F83" s="9">
        <v>13650</v>
      </c>
      <c r="G83" s="3">
        <v>11.2</v>
      </c>
      <c r="H83" s="3">
        <v>25.1</v>
      </c>
      <c r="I83" s="3">
        <v>2.2999999999999998</v>
      </c>
      <c r="J83" s="5">
        <f t="shared" si="1"/>
        <v>854.34939946095972</v>
      </c>
      <c r="K83" s="2">
        <v>38.316727999999998</v>
      </c>
      <c r="L83">
        <v>-5.4369490000000003</v>
      </c>
    </row>
    <row r="84" spans="1:12" ht="34.200000000000003" customHeight="1" thickBot="1" x14ac:dyDescent="0.35">
      <c r="A84" s="1">
        <v>1402902</v>
      </c>
      <c r="B84" s="2" t="s">
        <v>32</v>
      </c>
      <c r="C84" s="2">
        <v>2</v>
      </c>
      <c r="D84" s="2">
        <v>14290</v>
      </c>
      <c r="E84" s="9">
        <v>1296</v>
      </c>
      <c r="F84" s="9">
        <v>15050</v>
      </c>
      <c r="G84" s="3">
        <v>11.9</v>
      </c>
      <c r="H84" s="3">
        <v>27.5</v>
      </c>
      <c r="I84" s="3">
        <v>2.2999999999999998</v>
      </c>
      <c r="J84" s="5">
        <f t="shared" si="1"/>
        <v>1109.0783281208417</v>
      </c>
      <c r="K84" s="2">
        <v>38.252955</v>
      </c>
      <c r="L84">
        <v>-5.398123</v>
      </c>
    </row>
    <row r="85" spans="1:12" ht="34.200000000000003" customHeight="1" thickBot="1" x14ac:dyDescent="0.35">
      <c r="A85" s="1">
        <v>1402903</v>
      </c>
      <c r="B85" s="2" t="s">
        <v>32</v>
      </c>
      <c r="C85" s="2">
        <v>3</v>
      </c>
      <c r="D85" s="2">
        <v>14290</v>
      </c>
      <c r="E85" s="9">
        <v>910</v>
      </c>
      <c r="F85" s="9">
        <v>12250</v>
      </c>
      <c r="G85" s="3">
        <v>10.6</v>
      </c>
      <c r="H85" s="3">
        <v>29.1</v>
      </c>
      <c r="I85" s="3">
        <v>2.2999999999999998</v>
      </c>
      <c r="J85" s="5">
        <f t="shared" si="1"/>
        <v>612.08728898392508</v>
      </c>
      <c r="K85" s="2">
        <v>38.281224000000002</v>
      </c>
      <c r="L85">
        <v>-5.5014700000000003</v>
      </c>
    </row>
    <row r="86" spans="1:12" ht="34.200000000000003" customHeight="1" thickBot="1" x14ac:dyDescent="0.35">
      <c r="A86" s="1">
        <v>1402904</v>
      </c>
      <c r="B86" s="2" t="s">
        <v>32</v>
      </c>
      <c r="C86" s="2">
        <v>4</v>
      </c>
      <c r="D86" s="2">
        <v>14290</v>
      </c>
      <c r="E86" s="9">
        <v>1045</v>
      </c>
      <c r="F86" s="9">
        <v>13650</v>
      </c>
      <c r="G86" s="3">
        <v>9.5</v>
      </c>
      <c r="H86" s="3">
        <v>30.3</v>
      </c>
      <c r="I86" s="3">
        <v>2.1</v>
      </c>
      <c r="J86" s="5">
        <f t="shared" si="1"/>
        <v>796.53830401263906</v>
      </c>
      <c r="K86" s="2">
        <v>38.217834000000003</v>
      </c>
      <c r="L86">
        <v>-5.3382839999999998</v>
      </c>
    </row>
    <row r="87" spans="1:12" ht="34.200000000000003" customHeight="1" thickBot="1" x14ac:dyDescent="0.35">
      <c r="A87" s="1">
        <v>1403001</v>
      </c>
      <c r="B87" s="2" t="s">
        <v>33</v>
      </c>
      <c r="C87" s="2">
        <v>1</v>
      </c>
      <c r="D87" s="2">
        <v>14120</v>
      </c>
      <c r="E87" s="9">
        <v>8232</v>
      </c>
      <c r="F87" s="9">
        <v>15050</v>
      </c>
      <c r="G87" s="3">
        <v>20.100000000000001</v>
      </c>
      <c r="H87" s="3">
        <v>17</v>
      </c>
      <c r="I87" s="3">
        <v>2.6</v>
      </c>
      <c r="J87" s="5">
        <f t="shared" si="1"/>
        <v>8093.8665949959941</v>
      </c>
      <c r="K87" s="2">
        <v>37.701796000000002</v>
      </c>
      <c r="L87">
        <v>-5.1066310000000001</v>
      </c>
    </row>
    <row r="88" spans="1:12" ht="34.200000000000003" customHeight="1" thickBot="1" x14ac:dyDescent="0.35">
      <c r="A88" s="1">
        <v>1403002</v>
      </c>
      <c r="B88" s="2" t="s">
        <v>33</v>
      </c>
      <c r="C88" s="2">
        <v>2</v>
      </c>
      <c r="D88" s="2">
        <v>14120</v>
      </c>
      <c r="E88" s="9">
        <v>1703</v>
      </c>
      <c r="F88" s="9">
        <v>14350</v>
      </c>
      <c r="G88" s="3">
        <v>15.5</v>
      </c>
      <c r="H88" s="3">
        <v>22.6</v>
      </c>
      <c r="I88" s="3">
        <v>2.5</v>
      </c>
      <c r="J88" s="5">
        <f t="shared" si="1"/>
        <v>1467.0821993802504</v>
      </c>
      <c r="K88" s="2">
        <v>37.658890999999997</v>
      </c>
      <c r="L88">
        <v>-5.0864630000000002</v>
      </c>
    </row>
    <row r="89" spans="1:12" ht="34.200000000000003" customHeight="1" thickBot="1" x14ac:dyDescent="0.35">
      <c r="A89" s="1">
        <v>1403101</v>
      </c>
      <c r="B89" s="2" t="s">
        <v>34</v>
      </c>
      <c r="C89" s="2">
        <v>1</v>
      </c>
      <c r="D89" s="2">
        <v>14815</v>
      </c>
      <c r="E89" s="9">
        <v>676</v>
      </c>
      <c r="F89" s="9">
        <v>14000</v>
      </c>
      <c r="G89" s="3">
        <v>13.6</v>
      </c>
      <c r="H89" s="3">
        <v>26.9</v>
      </c>
      <c r="I89" s="3">
        <v>2.2000000000000002</v>
      </c>
      <c r="J89" s="5">
        <f t="shared" si="1"/>
        <v>565.22931461616133</v>
      </c>
      <c r="K89" s="2">
        <v>37.518715</v>
      </c>
      <c r="L89">
        <v>-4.129219</v>
      </c>
    </row>
    <row r="90" spans="1:12" ht="34.200000000000003" customHeight="1" thickBot="1" x14ac:dyDescent="0.35">
      <c r="A90" s="1">
        <v>1403201</v>
      </c>
      <c r="B90" s="2" t="s">
        <v>604</v>
      </c>
      <c r="C90" s="2">
        <v>1</v>
      </c>
      <c r="D90" s="2">
        <v>14209</v>
      </c>
      <c r="E90" s="9">
        <v>412</v>
      </c>
      <c r="F90" s="9">
        <v>13650</v>
      </c>
      <c r="G90" s="3">
        <v>10.4</v>
      </c>
      <c r="H90" s="3">
        <v>29.9</v>
      </c>
      <c r="I90" s="3">
        <v>2.2000000000000002</v>
      </c>
      <c r="J90" s="5">
        <f t="shared" si="1"/>
        <v>311.85778960206949</v>
      </c>
      <c r="K90" s="2">
        <v>38.360458000000001</v>
      </c>
      <c r="L90">
        <v>-5.3374360000000003</v>
      </c>
    </row>
    <row r="91" spans="1:12" ht="34.200000000000003" customHeight="1" thickBot="1" x14ac:dyDescent="0.35">
      <c r="A91" s="1">
        <v>1403301</v>
      </c>
      <c r="B91" s="2" t="s">
        <v>36</v>
      </c>
      <c r="C91" s="2">
        <v>1</v>
      </c>
      <c r="D91" s="2">
        <v>14546</v>
      </c>
      <c r="E91" s="9">
        <v>1549</v>
      </c>
      <c r="F91" s="9">
        <v>15050</v>
      </c>
      <c r="G91" s="3">
        <v>19</v>
      </c>
      <c r="H91" s="3">
        <v>15.5</v>
      </c>
      <c r="I91" s="3">
        <v>2.4</v>
      </c>
      <c r="J91" s="5">
        <f t="shared" si="1"/>
        <v>1591.3468016863583</v>
      </c>
      <c r="K91" s="2">
        <v>37.751477999999999</v>
      </c>
      <c r="L91">
        <v>-4.9734290000000003</v>
      </c>
    </row>
    <row r="92" spans="1:12" ht="34.200000000000003" customHeight="1" thickBot="1" x14ac:dyDescent="0.35">
      <c r="A92" s="1">
        <v>1490201</v>
      </c>
      <c r="B92" s="2" t="s">
        <v>605</v>
      </c>
      <c r="C92" s="2">
        <v>1</v>
      </c>
      <c r="D92" s="2">
        <v>14547</v>
      </c>
      <c r="E92" s="9">
        <v>1359</v>
      </c>
      <c r="F92" s="9">
        <v>14350</v>
      </c>
      <c r="G92" s="3">
        <v>17.100000000000001</v>
      </c>
      <c r="H92" s="3">
        <v>21.9</v>
      </c>
      <c r="I92" s="3">
        <v>2.4</v>
      </c>
      <c r="J92" s="5">
        <f t="shared" si="1"/>
        <v>1224.4607666744405</v>
      </c>
      <c r="K92" s="2">
        <v>37.626434000000003</v>
      </c>
      <c r="L92">
        <v>-4.8700780000000004</v>
      </c>
    </row>
    <row r="93" spans="1:12" ht="34.200000000000003" customHeight="1" thickBot="1" x14ac:dyDescent="0.35">
      <c r="A93" s="1">
        <v>1403401</v>
      </c>
      <c r="B93" s="2" t="s">
        <v>606</v>
      </c>
      <c r="C93" s="2">
        <v>1</v>
      </c>
      <c r="D93" s="2">
        <v>14413</v>
      </c>
      <c r="E93" s="9">
        <v>330</v>
      </c>
      <c r="F93" s="9">
        <v>17150</v>
      </c>
      <c r="G93" s="3">
        <v>13.9</v>
      </c>
      <c r="H93" s="3">
        <v>32.4</v>
      </c>
      <c r="I93" s="3">
        <v>2.2999999999999998</v>
      </c>
      <c r="J93" s="5">
        <f t="shared" si="1"/>
        <v>310.75200825337737</v>
      </c>
      <c r="K93" s="2">
        <v>38.524272000000003</v>
      </c>
      <c r="L93">
        <v>-4.7565200000000001</v>
      </c>
    </row>
    <row r="94" spans="1:12" ht="34.200000000000003" customHeight="1" thickBot="1" x14ac:dyDescent="0.35">
      <c r="A94" s="1">
        <v>1403501</v>
      </c>
      <c r="B94" s="2" t="s">
        <v>38</v>
      </c>
      <c r="C94" s="2">
        <v>1</v>
      </c>
      <c r="D94" s="2">
        <v>14270</v>
      </c>
      <c r="E94" s="9">
        <v>915</v>
      </c>
      <c r="F94" s="9">
        <v>13650</v>
      </c>
      <c r="G94" s="3">
        <v>13.2</v>
      </c>
      <c r="H94" s="3">
        <v>26.1</v>
      </c>
      <c r="I94" s="3">
        <v>2.4</v>
      </c>
      <c r="J94" s="5">
        <f t="shared" si="1"/>
        <v>717.47780130510682</v>
      </c>
      <c r="K94" s="2">
        <v>38.414926999999999</v>
      </c>
      <c r="L94">
        <v>-5.1774889999999996</v>
      </c>
    </row>
    <row r="95" spans="1:12" ht="34.200000000000003" customHeight="1" thickBot="1" x14ac:dyDescent="0.35">
      <c r="A95" s="1">
        <v>1403502</v>
      </c>
      <c r="B95" s="2" t="s">
        <v>38</v>
      </c>
      <c r="C95" s="2">
        <v>2</v>
      </c>
      <c r="D95" s="2">
        <v>14270</v>
      </c>
      <c r="E95" s="9">
        <v>586</v>
      </c>
      <c r="F95" s="9">
        <v>13650</v>
      </c>
      <c r="G95" s="3">
        <v>11.1</v>
      </c>
      <c r="H95" s="3">
        <v>34.5</v>
      </c>
      <c r="I95" s="3">
        <v>2.2999999999999998</v>
      </c>
      <c r="J95" s="5">
        <f t="shared" si="1"/>
        <v>412.79773721790161</v>
      </c>
      <c r="K95" s="2">
        <v>38.497652000000002</v>
      </c>
      <c r="L95">
        <v>-5.1490020000000003</v>
      </c>
    </row>
    <row r="96" spans="1:12" ht="34.200000000000003" customHeight="1" thickBot="1" x14ac:dyDescent="0.35">
      <c r="A96" s="1">
        <v>1403503</v>
      </c>
      <c r="B96" s="2" t="s">
        <v>38</v>
      </c>
      <c r="C96" s="2">
        <v>3</v>
      </c>
      <c r="D96" s="2">
        <v>14270</v>
      </c>
      <c r="E96" s="9">
        <v>3282</v>
      </c>
      <c r="F96" s="9">
        <v>14350</v>
      </c>
      <c r="G96" s="3">
        <v>14.5</v>
      </c>
      <c r="H96" s="3">
        <v>25.7</v>
      </c>
      <c r="I96" s="3">
        <v>2.5</v>
      </c>
      <c r="J96" s="5">
        <f t="shared" si="1"/>
        <v>2702.5617650540025</v>
      </c>
      <c r="K96" s="2">
        <v>38.498446000000001</v>
      </c>
      <c r="L96">
        <v>-5.1445239999999997</v>
      </c>
    </row>
    <row r="97" spans="1:12" ht="34.200000000000003" customHeight="1" thickBot="1" x14ac:dyDescent="0.35">
      <c r="A97" s="1">
        <v>1403504</v>
      </c>
      <c r="B97" s="2" t="s">
        <v>38</v>
      </c>
      <c r="C97" s="2">
        <v>4</v>
      </c>
      <c r="D97" s="2">
        <v>14270</v>
      </c>
      <c r="E97" s="9">
        <v>1646</v>
      </c>
      <c r="F97" s="9">
        <v>13650</v>
      </c>
      <c r="G97" s="3">
        <v>16</v>
      </c>
      <c r="H97" s="3">
        <v>23.6</v>
      </c>
      <c r="I97" s="3">
        <v>2.4</v>
      </c>
      <c r="J97" s="5">
        <f t="shared" si="1"/>
        <v>1369.213024306139</v>
      </c>
      <c r="K97" s="2">
        <v>38.479989000000003</v>
      </c>
      <c r="L97">
        <v>-5.0701499999999999</v>
      </c>
    </row>
    <row r="98" spans="1:12" ht="34.200000000000003" customHeight="1" thickBot="1" x14ac:dyDescent="0.35">
      <c r="A98" s="1">
        <v>1403601</v>
      </c>
      <c r="B98" s="2" t="s">
        <v>39</v>
      </c>
      <c r="C98" s="2">
        <v>1</v>
      </c>
      <c r="D98" s="2">
        <v>14740</v>
      </c>
      <c r="E98" s="9">
        <v>1949</v>
      </c>
      <c r="F98" s="9">
        <v>14350</v>
      </c>
      <c r="G98" s="3">
        <v>14.1</v>
      </c>
      <c r="H98" s="3">
        <v>21.2</v>
      </c>
      <c r="I98" s="3">
        <v>2.2999999999999998</v>
      </c>
      <c r="J98" s="5">
        <f t="shared" si="1"/>
        <v>1750.4823056683229</v>
      </c>
      <c r="K98" s="2">
        <v>37.825912000000002</v>
      </c>
      <c r="L98">
        <v>-5.242197</v>
      </c>
    </row>
    <row r="99" spans="1:12" ht="34.200000000000003" customHeight="1" thickBot="1" x14ac:dyDescent="0.35">
      <c r="A99" s="1">
        <v>1403602</v>
      </c>
      <c r="B99" s="2" t="s">
        <v>39</v>
      </c>
      <c r="C99" s="2">
        <v>2</v>
      </c>
      <c r="D99" s="2">
        <v>14740</v>
      </c>
      <c r="E99" s="9">
        <v>2404</v>
      </c>
      <c r="F99" s="9">
        <v>15750</v>
      </c>
      <c r="G99" s="3">
        <v>17.5</v>
      </c>
      <c r="H99" s="3">
        <v>20.399999999999999</v>
      </c>
      <c r="I99" s="3">
        <v>2.4</v>
      </c>
      <c r="J99" s="5">
        <f t="shared" si="1"/>
        <v>2424.7715037312564</v>
      </c>
      <c r="K99" s="2">
        <v>37.828530000000001</v>
      </c>
      <c r="L99">
        <v>-5.2489499999999998</v>
      </c>
    </row>
    <row r="100" spans="1:12" ht="34.200000000000003" customHeight="1" thickBot="1" x14ac:dyDescent="0.35">
      <c r="A100" s="1">
        <v>1403701</v>
      </c>
      <c r="B100" s="2" t="s">
        <v>40</v>
      </c>
      <c r="C100" s="2">
        <v>1</v>
      </c>
      <c r="D100" s="2">
        <v>14970</v>
      </c>
      <c r="E100" s="9">
        <v>1909</v>
      </c>
      <c r="F100" s="9">
        <v>14350</v>
      </c>
      <c r="G100" s="3">
        <v>13.4</v>
      </c>
      <c r="H100" s="3">
        <v>26.5</v>
      </c>
      <c r="I100" s="3">
        <v>2.2999999999999998</v>
      </c>
      <c r="J100" s="5">
        <f t="shared" si="1"/>
        <v>1603.8209304993145</v>
      </c>
      <c r="K100" s="2">
        <v>37.256777999999997</v>
      </c>
      <c r="L100">
        <v>-4.3115230000000002</v>
      </c>
    </row>
    <row r="101" spans="1:12" ht="34.200000000000003" customHeight="1" thickBot="1" x14ac:dyDescent="0.35">
      <c r="A101" s="1">
        <v>1403702</v>
      </c>
      <c r="B101" s="2" t="s">
        <v>40</v>
      </c>
      <c r="C101" s="2">
        <v>2</v>
      </c>
      <c r="D101" s="2">
        <v>14970</v>
      </c>
      <c r="E101" s="9">
        <v>820</v>
      </c>
      <c r="F101" s="9">
        <v>13650</v>
      </c>
      <c r="G101" s="3">
        <v>7.4</v>
      </c>
      <c r="H101" s="3">
        <v>35.200000000000003</v>
      </c>
      <c r="I101" s="3">
        <v>2.1</v>
      </c>
      <c r="J101" s="5">
        <f t="shared" si="1"/>
        <v>569.79186301730545</v>
      </c>
      <c r="K101" s="2">
        <v>37.230587999999997</v>
      </c>
      <c r="L101">
        <v>-4.3236749999999997</v>
      </c>
    </row>
    <row r="102" spans="1:12" ht="34.200000000000003" customHeight="1" thickBot="1" x14ac:dyDescent="0.35">
      <c r="A102" s="1">
        <v>1403703</v>
      </c>
      <c r="B102" s="2" t="s">
        <v>40</v>
      </c>
      <c r="C102" s="2">
        <v>3</v>
      </c>
      <c r="D102" s="2">
        <v>14970</v>
      </c>
      <c r="E102" s="9">
        <v>996</v>
      </c>
      <c r="F102" s="9">
        <v>12950</v>
      </c>
      <c r="G102" s="3">
        <v>10.1</v>
      </c>
      <c r="H102" s="3">
        <v>30.8</v>
      </c>
      <c r="I102" s="3">
        <v>2.2999999999999998</v>
      </c>
      <c r="J102" s="5">
        <f t="shared" si="1"/>
        <v>689.09732675185774</v>
      </c>
      <c r="K102" s="2">
        <v>37.289577999999999</v>
      </c>
      <c r="L102">
        <v>-4.2964419999999999</v>
      </c>
    </row>
    <row r="103" spans="1:12" ht="34.200000000000003" customHeight="1" thickBot="1" x14ac:dyDescent="0.35">
      <c r="A103" s="1">
        <v>1403801</v>
      </c>
      <c r="B103" s="2" t="s">
        <v>41</v>
      </c>
      <c r="C103" s="2">
        <v>1</v>
      </c>
      <c r="D103" s="2">
        <v>14900</v>
      </c>
      <c r="E103" s="9">
        <v>9106</v>
      </c>
      <c r="F103" s="9">
        <v>15050</v>
      </c>
      <c r="G103" s="3">
        <v>18.5</v>
      </c>
      <c r="H103" s="3">
        <v>18.399999999999999</v>
      </c>
      <c r="I103" s="3">
        <v>2.5</v>
      </c>
      <c r="J103" s="5">
        <f t="shared" si="1"/>
        <v>8864.8299273597204</v>
      </c>
      <c r="K103" s="2">
        <v>37.408029999999997</v>
      </c>
      <c r="L103">
        <v>-4.4849249999999996</v>
      </c>
    </row>
    <row r="104" spans="1:12" ht="34.200000000000003" customHeight="1" thickBot="1" x14ac:dyDescent="0.35">
      <c r="A104" s="1">
        <v>1403802</v>
      </c>
      <c r="B104" s="2" t="s">
        <v>41</v>
      </c>
      <c r="C104" s="2">
        <v>2</v>
      </c>
      <c r="D104" s="2">
        <v>14900</v>
      </c>
      <c r="E104" s="9">
        <v>15572</v>
      </c>
      <c r="F104" s="9">
        <v>14350</v>
      </c>
      <c r="G104" s="3">
        <v>20</v>
      </c>
      <c r="H104" s="3">
        <v>14.2</v>
      </c>
      <c r="I104" s="3">
        <v>2.6</v>
      </c>
      <c r="J104" s="5">
        <f t="shared" si="1"/>
        <v>14980.885297643319</v>
      </c>
      <c r="K104" s="2">
        <v>37.409607999999999</v>
      </c>
      <c r="L104">
        <v>-4.4884310000000003</v>
      </c>
    </row>
    <row r="105" spans="1:12" ht="34.200000000000003" customHeight="1" thickBot="1" x14ac:dyDescent="0.35">
      <c r="A105" s="1">
        <v>1403803</v>
      </c>
      <c r="B105" s="2" t="s">
        <v>41</v>
      </c>
      <c r="C105" s="2">
        <v>3</v>
      </c>
      <c r="D105" s="2">
        <v>14900</v>
      </c>
      <c r="E105" s="9">
        <v>14018</v>
      </c>
      <c r="F105" s="9">
        <v>15750</v>
      </c>
      <c r="G105" s="3">
        <v>18.8</v>
      </c>
      <c r="H105" s="3">
        <v>17.3</v>
      </c>
      <c r="I105" s="3">
        <v>2.7</v>
      </c>
      <c r="J105" s="5">
        <f t="shared" si="1"/>
        <v>13934.550471287452</v>
      </c>
      <c r="K105" s="2">
        <v>37.414008000000003</v>
      </c>
      <c r="L105">
        <v>-4.4765699999999997</v>
      </c>
    </row>
    <row r="106" spans="1:12" ht="34.200000000000003" customHeight="1" thickBot="1" x14ac:dyDescent="0.35">
      <c r="A106" s="1">
        <v>1403804</v>
      </c>
      <c r="B106" s="2" t="s">
        <v>41</v>
      </c>
      <c r="C106" s="2">
        <v>4</v>
      </c>
      <c r="D106" s="2">
        <v>14900</v>
      </c>
      <c r="E106" s="9">
        <v>2281</v>
      </c>
      <c r="F106" s="9">
        <v>14350</v>
      </c>
      <c r="G106" s="3">
        <v>19</v>
      </c>
      <c r="H106" s="3">
        <v>15.3</v>
      </c>
      <c r="I106" s="3">
        <v>2.5</v>
      </c>
      <c r="J106" s="5">
        <f t="shared" si="1"/>
        <v>2193.4519613443795</v>
      </c>
      <c r="K106" s="2">
        <v>37.345416</v>
      </c>
      <c r="L106">
        <v>-4.5288959999999996</v>
      </c>
    </row>
    <row r="107" spans="1:12" ht="34.200000000000003" customHeight="1" thickBot="1" x14ac:dyDescent="0.35">
      <c r="A107" s="1">
        <v>1403805</v>
      </c>
      <c r="B107" s="2" t="s">
        <v>41</v>
      </c>
      <c r="C107" s="2">
        <v>5</v>
      </c>
      <c r="D107" s="2">
        <v>14911</v>
      </c>
      <c r="E107" s="9">
        <v>1653</v>
      </c>
      <c r="F107" s="9">
        <v>13650</v>
      </c>
      <c r="G107" s="3">
        <v>16.899999999999999</v>
      </c>
      <c r="H107" s="3">
        <v>20.2</v>
      </c>
      <c r="I107" s="3">
        <v>2.5</v>
      </c>
      <c r="J107" s="5">
        <f t="shared" si="1"/>
        <v>1409.9514668326397</v>
      </c>
      <c r="K107" s="2">
        <v>37.401155000000003</v>
      </c>
      <c r="L107">
        <v>-4.5831730000000004</v>
      </c>
    </row>
    <row r="108" spans="1:12" ht="34.200000000000003" customHeight="1" thickBot="1" x14ac:dyDescent="0.35">
      <c r="A108" s="1">
        <v>1403901</v>
      </c>
      <c r="B108" s="2" t="s">
        <v>42</v>
      </c>
      <c r="C108" s="2">
        <v>1</v>
      </c>
      <c r="D108" s="2">
        <v>14880</v>
      </c>
      <c r="E108" s="9">
        <v>2817</v>
      </c>
      <c r="F108" s="9">
        <v>14350</v>
      </c>
      <c r="G108" s="3">
        <v>12.3</v>
      </c>
      <c r="H108" s="3">
        <v>24.9</v>
      </c>
      <c r="I108" s="3">
        <v>2.2000000000000002</v>
      </c>
      <c r="J108" s="5">
        <f t="shared" si="1"/>
        <v>2433.7783825446641</v>
      </c>
      <c r="K108" s="2">
        <v>37.556449999999998</v>
      </c>
      <c r="L108">
        <v>-4.2383449999999998</v>
      </c>
    </row>
    <row r="109" spans="1:12" ht="34.200000000000003" customHeight="1" thickBot="1" x14ac:dyDescent="0.35">
      <c r="A109" s="1">
        <v>1404001</v>
      </c>
      <c r="B109" s="2" t="s">
        <v>43</v>
      </c>
      <c r="C109" s="2">
        <v>1</v>
      </c>
      <c r="D109" s="2">
        <v>14548</v>
      </c>
      <c r="E109" s="9">
        <v>1916</v>
      </c>
      <c r="F109" s="9">
        <v>15050</v>
      </c>
      <c r="G109" s="3">
        <v>16.399999999999999</v>
      </c>
      <c r="H109" s="3">
        <v>24.4</v>
      </c>
      <c r="I109" s="3">
        <v>2.4</v>
      </c>
      <c r="J109" s="5">
        <f t="shared" si="1"/>
        <v>1749.6710261995909</v>
      </c>
      <c r="K109" s="2">
        <v>37.580272999999998</v>
      </c>
      <c r="L109">
        <v>-4.76328</v>
      </c>
    </row>
    <row r="110" spans="1:12" ht="34.200000000000003" customHeight="1" thickBot="1" x14ac:dyDescent="0.35">
      <c r="A110" s="1">
        <v>1404002</v>
      </c>
      <c r="B110" s="2" t="s">
        <v>43</v>
      </c>
      <c r="C110" s="2">
        <v>2</v>
      </c>
      <c r="D110" s="2">
        <v>14548</v>
      </c>
      <c r="E110" s="9">
        <v>2519</v>
      </c>
      <c r="F110" s="9">
        <v>15050</v>
      </c>
      <c r="G110" s="3">
        <v>15.7</v>
      </c>
      <c r="H110" s="3">
        <v>21.9</v>
      </c>
      <c r="I110" s="3">
        <v>2.5</v>
      </c>
      <c r="J110" s="5">
        <f t="shared" si="1"/>
        <v>2297.9453205068544</v>
      </c>
      <c r="K110" s="2">
        <v>37.581929000000002</v>
      </c>
      <c r="L110">
        <v>-4.7480390000000003</v>
      </c>
    </row>
    <row r="111" spans="1:12" ht="34.200000000000003" customHeight="1" thickBot="1" x14ac:dyDescent="0.35">
      <c r="A111" s="1">
        <v>1404101</v>
      </c>
      <c r="B111" s="2" t="s">
        <v>44</v>
      </c>
      <c r="C111" s="2">
        <v>1</v>
      </c>
      <c r="D111" s="2">
        <v>14530</v>
      </c>
      <c r="E111" s="9">
        <v>1817</v>
      </c>
      <c r="F111" s="9">
        <v>16450</v>
      </c>
      <c r="G111" s="3">
        <v>15.1</v>
      </c>
      <c r="H111" s="3">
        <v>23</v>
      </c>
      <c r="I111" s="3">
        <v>2.5</v>
      </c>
      <c r="J111" s="5">
        <f t="shared" si="1"/>
        <v>1778.9045438858027</v>
      </c>
      <c r="K111" s="2">
        <v>37.651269999999997</v>
      </c>
      <c r="L111">
        <v>-4.7106310000000002</v>
      </c>
    </row>
    <row r="112" spans="1:12" ht="34.200000000000003" customHeight="1" thickBot="1" x14ac:dyDescent="0.35">
      <c r="A112" s="1">
        <v>1404102</v>
      </c>
      <c r="B112" s="2" t="s">
        <v>44</v>
      </c>
      <c r="C112" s="2">
        <v>2</v>
      </c>
      <c r="D112" s="2">
        <v>14530</v>
      </c>
      <c r="E112" s="9">
        <v>2061</v>
      </c>
      <c r="F112" s="9">
        <v>15050</v>
      </c>
      <c r="G112" s="3">
        <v>16.2</v>
      </c>
      <c r="H112" s="3">
        <v>21.6</v>
      </c>
      <c r="I112" s="3">
        <v>2.6</v>
      </c>
      <c r="J112" s="5">
        <f t="shared" si="1"/>
        <v>1859.3499785869408</v>
      </c>
      <c r="K112" s="2">
        <v>37.639403999999999</v>
      </c>
      <c r="L112">
        <v>-4.6512270000000004</v>
      </c>
    </row>
    <row r="113" spans="1:12" ht="34.200000000000003" customHeight="1" thickBot="1" x14ac:dyDescent="0.35">
      <c r="A113" s="1">
        <v>1404201</v>
      </c>
      <c r="B113" s="2" t="s">
        <v>45</v>
      </c>
      <c r="C113" s="2">
        <v>1</v>
      </c>
      <c r="D113" s="2">
        <v>14550</v>
      </c>
      <c r="E113" s="9">
        <v>2541</v>
      </c>
      <c r="F113" s="9">
        <v>17150</v>
      </c>
      <c r="G113" s="3">
        <v>14.2</v>
      </c>
      <c r="H113" s="3">
        <v>26.5</v>
      </c>
      <c r="I113" s="3">
        <v>2.4</v>
      </c>
      <c r="J113" s="5">
        <f t="shared" si="1"/>
        <v>2520.6059142154431</v>
      </c>
      <c r="K113" s="2">
        <v>37.585155999999998</v>
      </c>
      <c r="L113">
        <v>-4.6395679999999997</v>
      </c>
    </row>
    <row r="114" spans="1:12" ht="34.200000000000003" customHeight="1" thickBot="1" x14ac:dyDescent="0.35">
      <c r="A114" s="1">
        <v>1404202</v>
      </c>
      <c r="B114" s="2" t="s">
        <v>45</v>
      </c>
      <c r="C114" s="2">
        <v>2</v>
      </c>
      <c r="D114" s="2">
        <v>14550</v>
      </c>
      <c r="E114" s="9">
        <v>4472</v>
      </c>
      <c r="F114" s="9">
        <v>16450</v>
      </c>
      <c r="G114" s="3">
        <v>17.2</v>
      </c>
      <c r="H114" s="3">
        <v>23.3</v>
      </c>
      <c r="I114" s="3">
        <v>2.5</v>
      </c>
      <c r="J114" s="5">
        <f t="shared" si="1"/>
        <v>4463.8076699440808</v>
      </c>
      <c r="K114" s="2">
        <v>37.588228999999998</v>
      </c>
      <c r="L114">
        <v>-4.6377350000000002</v>
      </c>
    </row>
    <row r="115" spans="1:12" ht="34.200000000000003" customHeight="1" thickBot="1" x14ac:dyDescent="0.35">
      <c r="A115" s="1">
        <v>1404203</v>
      </c>
      <c r="B115" s="2" t="s">
        <v>45</v>
      </c>
      <c r="C115" s="2">
        <v>3</v>
      </c>
      <c r="D115" s="2">
        <v>14550</v>
      </c>
      <c r="E115" s="9">
        <v>7564</v>
      </c>
      <c r="F115" s="9">
        <v>16450</v>
      </c>
      <c r="G115" s="3">
        <v>14.1</v>
      </c>
      <c r="H115" s="3">
        <v>20.7</v>
      </c>
      <c r="I115" s="3">
        <v>2.4</v>
      </c>
      <c r="J115" s="5">
        <f t="shared" si="1"/>
        <v>7664.8007000299413</v>
      </c>
      <c r="K115" s="2">
        <v>37.583094000000003</v>
      </c>
      <c r="L115">
        <v>-4.6409599999999998</v>
      </c>
    </row>
    <row r="116" spans="1:12" ht="34.200000000000003" customHeight="1" thickBot="1" x14ac:dyDescent="0.35">
      <c r="A116" s="1">
        <v>1404204</v>
      </c>
      <c r="B116" s="2" t="s">
        <v>45</v>
      </c>
      <c r="C116" s="2">
        <v>4</v>
      </c>
      <c r="D116" s="2">
        <v>14550</v>
      </c>
      <c r="E116" s="9">
        <v>6135</v>
      </c>
      <c r="F116" s="9">
        <v>15750</v>
      </c>
      <c r="G116" s="3">
        <v>15.8</v>
      </c>
      <c r="H116" s="3">
        <v>21</v>
      </c>
      <c r="I116" s="3">
        <v>2.5</v>
      </c>
      <c r="J116" s="5">
        <f t="shared" si="1"/>
        <v>5919.3721816664247</v>
      </c>
      <c r="K116" s="2">
        <v>37.590007999999997</v>
      </c>
      <c r="L116">
        <v>-4.6399590000000002</v>
      </c>
    </row>
    <row r="117" spans="1:12" ht="34.200000000000003" customHeight="1" thickBot="1" x14ac:dyDescent="0.35">
      <c r="A117" s="1">
        <v>1404205</v>
      </c>
      <c r="B117" s="2" t="s">
        <v>45</v>
      </c>
      <c r="C117" s="2">
        <v>5</v>
      </c>
      <c r="D117" s="2">
        <v>14550</v>
      </c>
      <c r="E117" s="9">
        <v>1388</v>
      </c>
      <c r="F117" s="9">
        <v>15050</v>
      </c>
      <c r="G117" s="3">
        <v>14.9</v>
      </c>
      <c r="H117" s="3">
        <v>19.399999999999999</v>
      </c>
      <c r="I117" s="3">
        <v>2.5</v>
      </c>
      <c r="J117" s="5">
        <f t="shared" si="1"/>
        <v>1289.1442690751378</v>
      </c>
      <c r="K117" s="2">
        <v>37.558883999999999</v>
      </c>
      <c r="L117">
        <v>-4.5682539999999996</v>
      </c>
    </row>
    <row r="118" spans="1:12" ht="34.200000000000003" customHeight="1" thickBot="1" x14ac:dyDescent="0.35">
      <c r="A118" s="1">
        <v>1404301</v>
      </c>
      <c r="B118" s="2" t="s">
        <v>46</v>
      </c>
      <c r="C118" s="2">
        <v>1</v>
      </c>
      <c r="D118" s="2">
        <v>14600</v>
      </c>
      <c r="E118" s="9">
        <v>1765</v>
      </c>
      <c r="F118" s="9">
        <v>13650</v>
      </c>
      <c r="G118" s="3">
        <v>17.399999999999999</v>
      </c>
      <c r="H118" s="3">
        <v>19.8</v>
      </c>
      <c r="I118" s="3">
        <v>2.5</v>
      </c>
      <c r="J118" s="5">
        <f t="shared" si="1"/>
        <v>1519.4953081605745</v>
      </c>
      <c r="K118" s="2">
        <v>38.027025999999999</v>
      </c>
      <c r="L118">
        <v>-4.3837890000000002</v>
      </c>
    </row>
    <row r="119" spans="1:12" ht="34.200000000000003" customHeight="1" thickBot="1" x14ac:dyDescent="0.35">
      <c r="A119" s="1">
        <v>1404302</v>
      </c>
      <c r="B119" s="2" t="s">
        <v>46</v>
      </c>
      <c r="C119" s="2">
        <v>2</v>
      </c>
      <c r="D119" s="2">
        <v>14600</v>
      </c>
      <c r="E119" s="9">
        <v>1108</v>
      </c>
      <c r="F119" s="9">
        <v>14350</v>
      </c>
      <c r="G119" s="3">
        <v>17.2</v>
      </c>
      <c r="H119" s="3">
        <v>19.600000000000001</v>
      </c>
      <c r="I119" s="3">
        <v>2.6</v>
      </c>
      <c r="J119" s="5">
        <f t="shared" si="1"/>
        <v>983.32480381113169</v>
      </c>
      <c r="K119" s="2">
        <v>38.109313</v>
      </c>
      <c r="L119">
        <v>-4.286753</v>
      </c>
    </row>
    <row r="120" spans="1:12" ht="34.200000000000003" customHeight="1" thickBot="1" x14ac:dyDescent="0.35">
      <c r="A120" s="1">
        <v>1404303</v>
      </c>
      <c r="B120" s="2" t="s">
        <v>46</v>
      </c>
      <c r="C120" s="2">
        <v>3</v>
      </c>
      <c r="D120" s="2">
        <v>14600</v>
      </c>
      <c r="E120" s="9">
        <v>1531</v>
      </c>
      <c r="F120" s="9">
        <v>15050</v>
      </c>
      <c r="G120" s="3">
        <v>16</v>
      </c>
      <c r="H120" s="3">
        <v>24.1</v>
      </c>
      <c r="I120" s="3">
        <v>2.5</v>
      </c>
      <c r="J120" s="5">
        <f t="shared" si="1"/>
        <v>1368.3569005852398</v>
      </c>
      <c r="K120" s="2">
        <v>38.024939000000003</v>
      </c>
      <c r="L120">
        <v>-4.384887</v>
      </c>
    </row>
    <row r="121" spans="1:12" ht="34.200000000000003" customHeight="1" thickBot="1" x14ac:dyDescent="0.35">
      <c r="A121" s="1">
        <v>1404304</v>
      </c>
      <c r="B121" s="2" t="s">
        <v>46</v>
      </c>
      <c r="C121" s="2">
        <v>4</v>
      </c>
      <c r="D121" s="2">
        <v>14600</v>
      </c>
      <c r="E121" s="9">
        <v>4615</v>
      </c>
      <c r="F121" s="9">
        <v>15750</v>
      </c>
      <c r="G121" s="3">
        <v>17.8</v>
      </c>
      <c r="H121" s="3">
        <v>18.899999999999999</v>
      </c>
      <c r="I121" s="3">
        <v>2.5</v>
      </c>
      <c r="J121" s="5">
        <f t="shared" si="1"/>
        <v>4645.3745868431897</v>
      </c>
      <c r="K121" s="2">
        <v>38.134031999999998</v>
      </c>
      <c r="L121">
        <v>-4.4509869999999996</v>
      </c>
    </row>
    <row r="122" spans="1:12" ht="34.200000000000003" customHeight="1" thickBot="1" x14ac:dyDescent="0.35">
      <c r="A122" s="1">
        <v>1404401</v>
      </c>
      <c r="B122" s="2" t="s">
        <v>47</v>
      </c>
      <c r="C122" s="2">
        <v>1</v>
      </c>
      <c r="D122" s="2">
        <v>14547</v>
      </c>
      <c r="E122" s="9">
        <v>1935</v>
      </c>
      <c r="F122" s="9">
        <v>15050</v>
      </c>
      <c r="G122" s="3">
        <v>16.2</v>
      </c>
      <c r="H122" s="3">
        <v>19.5</v>
      </c>
      <c r="I122" s="3">
        <v>2.4</v>
      </c>
      <c r="J122" s="5">
        <f t="shared" si="1"/>
        <v>1857.2933831341527</v>
      </c>
      <c r="K122" s="2">
        <v>37.475740999999999</v>
      </c>
      <c r="L122">
        <v>-4.5813769999999998</v>
      </c>
    </row>
    <row r="123" spans="1:12" ht="34.200000000000003" customHeight="1" thickBot="1" x14ac:dyDescent="0.35">
      <c r="A123" s="1">
        <v>1404501</v>
      </c>
      <c r="B123" s="2" t="s">
        <v>48</v>
      </c>
      <c r="C123" s="2">
        <v>1</v>
      </c>
      <c r="D123" s="2">
        <v>14510</v>
      </c>
      <c r="E123" s="9">
        <v>3629</v>
      </c>
      <c r="F123" s="9">
        <v>13650</v>
      </c>
      <c r="G123" s="3">
        <v>16.899999999999999</v>
      </c>
      <c r="H123" s="3">
        <v>18.7</v>
      </c>
      <c r="I123" s="3">
        <v>2.4</v>
      </c>
      <c r="J123" s="5">
        <f t="shared" si="1"/>
        <v>3208.2461036549662</v>
      </c>
      <c r="K123" s="2">
        <v>37.443072999999998</v>
      </c>
      <c r="L123">
        <v>-4.6151879999999998</v>
      </c>
    </row>
    <row r="124" spans="1:12" ht="34.200000000000003" customHeight="1" thickBot="1" x14ac:dyDescent="0.35">
      <c r="A124" s="1">
        <v>1404601</v>
      </c>
      <c r="B124" s="2" t="s">
        <v>49</v>
      </c>
      <c r="C124" s="2">
        <v>1</v>
      </c>
      <c r="D124" s="2">
        <v>14857</v>
      </c>
      <c r="E124" s="9">
        <v>3038</v>
      </c>
      <c r="F124" s="9">
        <v>13650</v>
      </c>
      <c r="G124" s="3">
        <v>16.8</v>
      </c>
      <c r="H124" s="3">
        <v>17.8</v>
      </c>
      <c r="I124" s="3">
        <v>2.6</v>
      </c>
      <c r="J124" s="5">
        <f t="shared" si="1"/>
        <v>2601.4239275205755</v>
      </c>
      <c r="K124" s="2">
        <v>37.599665000000002</v>
      </c>
      <c r="L124">
        <v>-4.4475020000000001</v>
      </c>
    </row>
    <row r="125" spans="1:12" ht="34.200000000000003" customHeight="1" thickBot="1" x14ac:dyDescent="0.35">
      <c r="A125" s="1">
        <v>1404602</v>
      </c>
      <c r="B125" s="2" t="s">
        <v>49</v>
      </c>
      <c r="C125" s="2">
        <v>2</v>
      </c>
      <c r="D125" s="2">
        <v>14857</v>
      </c>
      <c r="E125" s="9">
        <v>2274</v>
      </c>
      <c r="F125" s="9">
        <v>13650</v>
      </c>
      <c r="G125" s="3">
        <v>15.5</v>
      </c>
      <c r="H125" s="3">
        <v>23.6</v>
      </c>
      <c r="I125" s="3">
        <v>2.5</v>
      </c>
      <c r="J125" s="5">
        <f t="shared" si="1"/>
        <v>1843.3627524995459</v>
      </c>
      <c r="K125" s="2">
        <v>37.583123999999998</v>
      </c>
      <c r="L125">
        <v>-4.4684699999999999</v>
      </c>
    </row>
    <row r="126" spans="1:12" ht="34.200000000000003" customHeight="1" thickBot="1" x14ac:dyDescent="0.35">
      <c r="A126" s="1">
        <v>1404701</v>
      </c>
      <c r="B126" s="2" t="s">
        <v>50</v>
      </c>
      <c r="C126" s="2">
        <v>1</v>
      </c>
      <c r="D126" s="2">
        <v>14350</v>
      </c>
      <c r="E126" s="9">
        <v>2090</v>
      </c>
      <c r="F126" s="9">
        <v>16450</v>
      </c>
      <c r="G126" s="3">
        <v>15.8</v>
      </c>
      <c r="H126" s="3">
        <v>17</v>
      </c>
      <c r="I126" s="3">
        <v>2.4</v>
      </c>
      <c r="J126" s="5">
        <f t="shared" si="1"/>
        <v>2240.2975354782407</v>
      </c>
      <c r="K126" s="2">
        <v>38.074013999999998</v>
      </c>
      <c r="L126">
        <v>-4.7605180000000002</v>
      </c>
    </row>
    <row r="127" spans="1:12" ht="34.200000000000003" customHeight="1" thickBot="1" x14ac:dyDescent="0.35">
      <c r="A127" s="1">
        <v>1404801</v>
      </c>
      <c r="B127" s="2" t="s">
        <v>51</v>
      </c>
      <c r="C127" s="2">
        <v>1</v>
      </c>
      <c r="D127" s="2">
        <v>14914</v>
      </c>
      <c r="E127" s="9">
        <v>1432</v>
      </c>
      <c r="F127" s="9">
        <v>14350</v>
      </c>
      <c r="G127" s="3">
        <v>15.6</v>
      </c>
      <c r="H127" s="3">
        <v>22.1</v>
      </c>
      <c r="I127" s="3">
        <v>2.5</v>
      </c>
      <c r="J127" s="5">
        <f t="shared" si="1"/>
        <v>1241.5914538165125</v>
      </c>
      <c r="K127" s="2">
        <v>37.250250999999999</v>
      </c>
      <c r="L127">
        <v>-4.595421</v>
      </c>
    </row>
    <row r="128" spans="1:12" ht="34.200000000000003" customHeight="1" thickBot="1" x14ac:dyDescent="0.35">
      <c r="A128" s="1">
        <v>1404901</v>
      </c>
      <c r="B128" s="2" t="s">
        <v>52</v>
      </c>
      <c r="C128" s="2">
        <v>1</v>
      </c>
      <c r="D128" s="2">
        <v>14700</v>
      </c>
      <c r="E128" s="9">
        <v>7114</v>
      </c>
      <c r="F128" s="9">
        <v>14350</v>
      </c>
      <c r="G128" s="3">
        <v>20.7</v>
      </c>
      <c r="H128" s="3">
        <v>13.8</v>
      </c>
      <c r="I128" s="3">
        <v>2.7</v>
      </c>
      <c r="J128" s="5">
        <f t="shared" si="1"/>
        <v>6785.8424785140114</v>
      </c>
      <c r="K128" s="2">
        <v>37.695390000000003</v>
      </c>
      <c r="L128">
        <v>-5.2755190000000001</v>
      </c>
    </row>
    <row r="129" spans="1:12" ht="34.200000000000003" customHeight="1" thickBot="1" x14ac:dyDescent="0.35">
      <c r="A129" s="1">
        <v>1404902</v>
      </c>
      <c r="B129" s="2" t="s">
        <v>52</v>
      </c>
      <c r="C129" s="2">
        <v>2</v>
      </c>
      <c r="D129" s="2">
        <v>14700</v>
      </c>
      <c r="E129" s="9">
        <v>3561</v>
      </c>
      <c r="F129" s="9">
        <v>14350</v>
      </c>
      <c r="G129" s="3">
        <v>15.8</v>
      </c>
      <c r="H129" s="3">
        <v>21.1</v>
      </c>
      <c r="I129" s="3">
        <v>2.5</v>
      </c>
      <c r="J129" s="5">
        <f t="shared" si="1"/>
        <v>3127.1307376000423</v>
      </c>
      <c r="K129" s="2">
        <v>37.696809999999999</v>
      </c>
      <c r="L129">
        <v>-5.2809179999999998</v>
      </c>
    </row>
    <row r="130" spans="1:12" ht="34.200000000000003" customHeight="1" thickBot="1" x14ac:dyDescent="0.35">
      <c r="A130" s="1">
        <v>1404903</v>
      </c>
      <c r="B130" s="2" t="s">
        <v>52</v>
      </c>
      <c r="C130" s="2">
        <v>3</v>
      </c>
      <c r="D130" s="2">
        <v>14700</v>
      </c>
      <c r="E130" s="9">
        <v>9744</v>
      </c>
      <c r="F130" s="9">
        <v>15050</v>
      </c>
      <c r="G130" s="3">
        <v>14.8</v>
      </c>
      <c r="H130" s="3">
        <v>23</v>
      </c>
      <c r="I130" s="3">
        <v>2.5</v>
      </c>
      <c r="J130" s="5">
        <f t="shared" si="1"/>
        <v>8699.386796115512</v>
      </c>
      <c r="K130" s="2">
        <v>37.699328000000001</v>
      </c>
      <c r="L130">
        <v>-5.2812159999999997</v>
      </c>
    </row>
    <row r="131" spans="1:12" ht="34.200000000000003" customHeight="1" thickBot="1" x14ac:dyDescent="0.35">
      <c r="A131" s="1">
        <v>1405001</v>
      </c>
      <c r="B131" s="2" t="s">
        <v>53</v>
      </c>
      <c r="C131" s="2">
        <v>1</v>
      </c>
      <c r="D131" s="2">
        <v>14630</v>
      </c>
      <c r="E131" s="9">
        <v>1643</v>
      </c>
      <c r="F131" s="9">
        <v>15750</v>
      </c>
      <c r="G131" s="3">
        <v>15.9</v>
      </c>
      <c r="H131" s="3">
        <v>18.2</v>
      </c>
      <c r="I131" s="3">
        <v>2.4</v>
      </c>
      <c r="J131" s="5">
        <f t="shared" si="1"/>
        <v>1667.436306068993</v>
      </c>
      <c r="K131" s="2">
        <v>37.977941000000001</v>
      </c>
      <c r="L131">
        <v>-4.4738579999999999</v>
      </c>
    </row>
    <row r="132" spans="1:12" ht="34.200000000000003" customHeight="1" thickBot="1" x14ac:dyDescent="0.35">
      <c r="A132" s="1">
        <v>1405002</v>
      </c>
      <c r="B132" s="2" t="s">
        <v>53</v>
      </c>
      <c r="C132" s="2">
        <v>2</v>
      </c>
      <c r="D132" s="2">
        <v>14630</v>
      </c>
      <c r="E132" s="9">
        <v>1171</v>
      </c>
      <c r="F132" s="9">
        <v>16450</v>
      </c>
      <c r="G132" s="3">
        <v>14.9</v>
      </c>
      <c r="H132" s="3">
        <v>26.1</v>
      </c>
      <c r="I132" s="3">
        <v>2.2999999999999998</v>
      </c>
      <c r="J132" s="5">
        <f t="shared" si="1"/>
        <v>1152.4286170389098</v>
      </c>
      <c r="K132" s="2">
        <v>37.962043000000001</v>
      </c>
      <c r="L132">
        <v>-4.439546</v>
      </c>
    </row>
    <row r="133" spans="1:12" ht="34.200000000000003" customHeight="1" thickBot="1" x14ac:dyDescent="0.35">
      <c r="A133" s="1">
        <v>1405101</v>
      </c>
      <c r="B133" s="2" t="s">
        <v>54</v>
      </c>
      <c r="C133" s="2">
        <v>1</v>
      </c>
      <c r="D133" s="2">
        <v>14412</v>
      </c>
      <c r="E133" s="9">
        <v>774</v>
      </c>
      <c r="F133" s="9">
        <v>15750</v>
      </c>
      <c r="G133" s="3">
        <v>12.8</v>
      </c>
      <c r="H133" s="3">
        <v>28.2</v>
      </c>
      <c r="I133" s="3">
        <v>2.1</v>
      </c>
      <c r="J133" s="5">
        <f t="shared" si="1"/>
        <v>727.15069486829861</v>
      </c>
      <c r="K133" s="2">
        <v>38.418472000000001</v>
      </c>
      <c r="L133">
        <v>-4.7241419999999996</v>
      </c>
    </row>
    <row r="134" spans="1:12" ht="34.200000000000003" customHeight="1" thickBot="1" x14ac:dyDescent="0.35">
      <c r="A134" s="1">
        <v>1405102</v>
      </c>
      <c r="B134" s="2" t="s">
        <v>54</v>
      </c>
      <c r="C134" s="2">
        <v>2</v>
      </c>
      <c r="D134" s="2">
        <v>14412</v>
      </c>
      <c r="E134" s="9">
        <v>598</v>
      </c>
      <c r="F134" s="9">
        <v>15750</v>
      </c>
      <c r="G134" s="3">
        <v>9.9</v>
      </c>
      <c r="H134" s="3">
        <v>27.8</v>
      </c>
      <c r="I134" s="3">
        <v>2</v>
      </c>
      <c r="J134" s="5">
        <f t="shared" si="1"/>
        <v>558.66580584375083</v>
      </c>
      <c r="K134" s="2">
        <v>38.429879999999997</v>
      </c>
      <c r="L134">
        <v>-4.7863160000000002</v>
      </c>
    </row>
    <row r="135" spans="1:12" ht="34.200000000000003" customHeight="1" thickBot="1" x14ac:dyDescent="0.35">
      <c r="A135" s="1">
        <v>1405201</v>
      </c>
      <c r="B135" s="2" t="s">
        <v>55</v>
      </c>
      <c r="C135" s="2">
        <v>1</v>
      </c>
      <c r="D135" s="2">
        <v>14200</v>
      </c>
      <c r="E135" s="9">
        <v>4706</v>
      </c>
      <c r="F135" s="9">
        <v>17850</v>
      </c>
      <c r="G135" s="3">
        <v>13.1</v>
      </c>
      <c r="H135" s="3">
        <v>27.7</v>
      </c>
      <c r="I135" s="3">
        <v>2.4</v>
      </c>
      <c r="J135" s="5">
        <f t="shared" si="1"/>
        <v>4731.3446191536768</v>
      </c>
      <c r="K135" s="2">
        <v>38.277901</v>
      </c>
      <c r="L135">
        <v>-5.2712690000000002</v>
      </c>
    </row>
    <row r="136" spans="1:12" ht="34.200000000000003" customHeight="1" thickBot="1" x14ac:dyDescent="0.35">
      <c r="A136" s="1">
        <v>1405202</v>
      </c>
      <c r="B136" s="2" t="s">
        <v>55</v>
      </c>
      <c r="C136" s="2">
        <v>2</v>
      </c>
      <c r="D136" s="2">
        <v>14200</v>
      </c>
      <c r="E136" s="9">
        <v>3033</v>
      </c>
      <c r="F136" s="9">
        <v>14350</v>
      </c>
      <c r="G136" s="3">
        <v>14.5</v>
      </c>
      <c r="H136" s="3">
        <v>23.3</v>
      </c>
      <c r="I136" s="3">
        <v>2.4</v>
      </c>
      <c r="J136" s="5">
        <f t="shared" ref="J136:J199" si="2">E136*(F136/$H$1)*(1+(G136/100)-(H136/100))*($H$2/I136)^0.5</f>
        <v>2617.9160628915715</v>
      </c>
      <c r="K136" s="2">
        <v>38.297573</v>
      </c>
      <c r="L136">
        <v>-5.2612269999999999</v>
      </c>
    </row>
    <row r="137" spans="1:12" ht="34.200000000000003" customHeight="1" thickBot="1" x14ac:dyDescent="0.35">
      <c r="A137" s="1">
        <v>1405203</v>
      </c>
      <c r="B137" s="2" t="s">
        <v>55</v>
      </c>
      <c r="C137" s="2">
        <v>3</v>
      </c>
      <c r="D137" s="2">
        <v>14200</v>
      </c>
      <c r="E137" s="9">
        <v>2325</v>
      </c>
      <c r="F137" s="9">
        <v>15050</v>
      </c>
      <c r="G137" s="3">
        <v>14.5</v>
      </c>
      <c r="H137" s="3">
        <v>23.9</v>
      </c>
      <c r="I137" s="3">
        <v>2.4</v>
      </c>
      <c r="J137" s="5">
        <f t="shared" si="2"/>
        <v>2090.8564792696106</v>
      </c>
      <c r="K137" s="2">
        <v>38.301707999999998</v>
      </c>
      <c r="L137">
        <v>-5.282883</v>
      </c>
    </row>
    <row r="138" spans="1:12" ht="34.200000000000003" customHeight="1" thickBot="1" x14ac:dyDescent="0.35">
      <c r="A138" s="1">
        <v>1405204</v>
      </c>
      <c r="B138" s="2" t="s">
        <v>55</v>
      </c>
      <c r="C138" s="2">
        <v>4</v>
      </c>
      <c r="D138" s="2">
        <v>14200</v>
      </c>
      <c r="E138" s="9">
        <v>253</v>
      </c>
      <c r="F138" s="9">
        <v>15050</v>
      </c>
      <c r="G138" s="3">
        <v>14.5</v>
      </c>
      <c r="H138" s="3">
        <v>24.9</v>
      </c>
      <c r="I138" s="3">
        <v>2.4</v>
      </c>
      <c r="J138" s="5">
        <f t="shared" si="2"/>
        <v>225.00988562399752</v>
      </c>
      <c r="K138" s="2">
        <v>38.313122999999997</v>
      </c>
      <c r="L138">
        <v>-5.2804799999999998</v>
      </c>
    </row>
    <row r="139" spans="1:12" ht="34.200000000000003" customHeight="1" thickBot="1" x14ac:dyDescent="0.35">
      <c r="A139" s="1">
        <v>1405301</v>
      </c>
      <c r="B139" s="2" t="s">
        <v>56</v>
      </c>
      <c r="C139" s="2">
        <v>1</v>
      </c>
      <c r="D139" s="2">
        <v>14730</v>
      </c>
      <c r="E139" s="9">
        <v>3491</v>
      </c>
      <c r="F139" s="9">
        <v>15750</v>
      </c>
      <c r="G139" s="3">
        <v>17.100000000000001</v>
      </c>
      <c r="H139" s="3">
        <v>19.899999999999999</v>
      </c>
      <c r="I139" s="3">
        <v>2.4</v>
      </c>
      <c r="J139" s="5">
        <f t="shared" si="2"/>
        <v>3524.7899375479128</v>
      </c>
      <c r="K139" s="2">
        <v>37.803840000000001</v>
      </c>
      <c r="L139">
        <v>-5.1030939999999996</v>
      </c>
    </row>
    <row r="140" spans="1:12" ht="34.200000000000003" customHeight="1" thickBot="1" x14ac:dyDescent="0.35">
      <c r="A140" s="1">
        <v>1405302</v>
      </c>
      <c r="B140" s="2" t="s">
        <v>56</v>
      </c>
      <c r="C140" s="2">
        <v>2</v>
      </c>
      <c r="D140" s="2">
        <v>14730</v>
      </c>
      <c r="E140" s="9">
        <v>3668</v>
      </c>
      <c r="F140" s="9">
        <v>14350</v>
      </c>
      <c r="G140" s="3">
        <v>17.3</v>
      </c>
      <c r="H140" s="3">
        <v>20</v>
      </c>
      <c r="I140" s="3">
        <v>2.4</v>
      </c>
      <c r="J140" s="5">
        <f t="shared" si="2"/>
        <v>3377.7743735147856</v>
      </c>
      <c r="K140" s="2">
        <v>37.838028999999999</v>
      </c>
      <c r="L140">
        <v>-5.117928</v>
      </c>
    </row>
    <row r="141" spans="1:12" ht="34.200000000000003" customHeight="1" thickBot="1" x14ac:dyDescent="0.35">
      <c r="A141" s="1">
        <v>1405401</v>
      </c>
      <c r="B141" s="2" t="s">
        <v>57</v>
      </c>
      <c r="C141" s="2">
        <v>1</v>
      </c>
      <c r="D141" s="2">
        <v>14400</v>
      </c>
      <c r="E141" s="9">
        <v>4617</v>
      </c>
      <c r="F141" s="9">
        <v>20650</v>
      </c>
      <c r="G141" s="3">
        <v>18.7</v>
      </c>
      <c r="H141" s="3">
        <v>17.600000000000001</v>
      </c>
      <c r="I141" s="3">
        <v>2.5</v>
      </c>
      <c r="J141" s="5">
        <f t="shared" si="2"/>
        <v>6228.7839998949512</v>
      </c>
      <c r="K141" s="2">
        <v>38.382102000000003</v>
      </c>
      <c r="L141">
        <v>-4.845351</v>
      </c>
    </row>
    <row r="142" spans="1:12" ht="34.200000000000003" customHeight="1" thickBot="1" x14ac:dyDescent="0.35">
      <c r="A142" s="1">
        <v>1405402</v>
      </c>
      <c r="B142" s="2" t="s">
        <v>57</v>
      </c>
      <c r="C142" s="2">
        <v>2</v>
      </c>
      <c r="D142" s="2">
        <v>14400</v>
      </c>
      <c r="E142" s="9">
        <v>6286</v>
      </c>
      <c r="F142" s="9">
        <v>17150</v>
      </c>
      <c r="G142" s="3">
        <v>16.8</v>
      </c>
      <c r="H142" s="3">
        <v>17.399999999999999</v>
      </c>
      <c r="I142" s="3">
        <v>2.5</v>
      </c>
      <c r="J142" s="5">
        <f t="shared" si="2"/>
        <v>6924.6379272465001</v>
      </c>
      <c r="K142" s="2">
        <v>38.373924000000002</v>
      </c>
      <c r="L142">
        <v>-4.8504269999999998</v>
      </c>
    </row>
    <row r="143" spans="1:12" ht="34.200000000000003" customHeight="1" thickBot="1" x14ac:dyDescent="0.35">
      <c r="A143" s="1">
        <v>1405403</v>
      </c>
      <c r="B143" s="2" t="s">
        <v>57</v>
      </c>
      <c r="C143" s="2">
        <v>3</v>
      </c>
      <c r="D143" s="2">
        <v>14400</v>
      </c>
      <c r="E143" s="9">
        <v>2170</v>
      </c>
      <c r="F143" s="9">
        <v>15750</v>
      </c>
      <c r="G143" s="3">
        <v>16.2</v>
      </c>
      <c r="H143" s="3">
        <v>21.9</v>
      </c>
      <c r="I143" s="3">
        <v>2.5</v>
      </c>
      <c r="J143" s="5">
        <f t="shared" si="2"/>
        <v>2082.687782465865</v>
      </c>
      <c r="K143" s="2">
        <v>38.382553999999999</v>
      </c>
      <c r="L143">
        <v>-4.8569019999999998</v>
      </c>
    </row>
    <row r="144" spans="1:12" ht="34.200000000000003" customHeight="1" thickBot="1" x14ac:dyDescent="0.35">
      <c r="A144" s="1">
        <v>1405404</v>
      </c>
      <c r="B144" s="2" t="s">
        <v>57</v>
      </c>
      <c r="C144" s="2">
        <v>4</v>
      </c>
      <c r="D144" s="2">
        <v>14400</v>
      </c>
      <c r="E144" s="9">
        <v>3429</v>
      </c>
      <c r="F144" s="9">
        <v>15750</v>
      </c>
      <c r="G144" s="3">
        <v>16.399999999999999</v>
      </c>
      <c r="H144" s="3">
        <v>24.5</v>
      </c>
      <c r="I144" s="3">
        <v>2.4</v>
      </c>
      <c r="J144" s="5">
        <f t="shared" si="2"/>
        <v>3273.4078740652913</v>
      </c>
      <c r="K144" s="2">
        <v>38.262067999999999</v>
      </c>
      <c r="L144">
        <v>-4.798394</v>
      </c>
    </row>
    <row r="145" spans="1:12" ht="34.200000000000003" customHeight="1" thickBot="1" x14ac:dyDescent="0.35">
      <c r="A145" s="1">
        <v>1405501</v>
      </c>
      <c r="B145" s="2" t="s">
        <v>58</v>
      </c>
      <c r="C145" s="2">
        <v>1</v>
      </c>
      <c r="D145" s="2">
        <v>14800</v>
      </c>
      <c r="E145" s="9">
        <v>4412</v>
      </c>
      <c r="F145" s="9">
        <v>14350</v>
      </c>
      <c r="G145" s="3">
        <v>15.3</v>
      </c>
      <c r="H145" s="3">
        <v>25.7</v>
      </c>
      <c r="I145" s="3">
        <v>2.2999999999999998</v>
      </c>
      <c r="J145" s="5">
        <f t="shared" si="2"/>
        <v>3821.8504190646972</v>
      </c>
      <c r="K145" s="2">
        <v>37.435932999999999</v>
      </c>
      <c r="L145">
        <v>-4.1908329999999996</v>
      </c>
    </row>
    <row r="146" spans="1:12" ht="34.200000000000003" customHeight="1" thickBot="1" x14ac:dyDescent="0.35">
      <c r="A146" s="1">
        <v>1405502</v>
      </c>
      <c r="B146" s="2" t="s">
        <v>58</v>
      </c>
      <c r="C146" s="2">
        <v>2</v>
      </c>
      <c r="D146" s="2">
        <v>14800</v>
      </c>
      <c r="E146" s="9">
        <v>13763</v>
      </c>
      <c r="F146" s="9">
        <v>14350</v>
      </c>
      <c r="G146" s="3">
        <v>17</v>
      </c>
      <c r="H146" s="3">
        <v>18.899999999999999</v>
      </c>
      <c r="I146" s="3">
        <v>2.4</v>
      </c>
      <c r="J146" s="5">
        <f t="shared" si="2"/>
        <v>12778.226633088201</v>
      </c>
      <c r="K146" s="2">
        <v>37.432209999999998</v>
      </c>
      <c r="L146">
        <v>-4.2026579999999996</v>
      </c>
    </row>
    <row r="147" spans="1:12" ht="34.200000000000003" customHeight="1" thickBot="1" x14ac:dyDescent="0.35">
      <c r="A147" s="1">
        <v>1405503</v>
      </c>
      <c r="B147" s="2" t="s">
        <v>58</v>
      </c>
      <c r="C147" s="2">
        <v>3</v>
      </c>
      <c r="D147" s="2">
        <v>14800</v>
      </c>
      <c r="E147" s="9">
        <v>1724</v>
      </c>
      <c r="F147" s="9">
        <v>13650</v>
      </c>
      <c r="G147" s="3">
        <v>12.4</v>
      </c>
      <c r="H147" s="3">
        <v>28.8</v>
      </c>
      <c r="I147" s="3">
        <v>2.2999999999999998</v>
      </c>
      <c r="J147" s="5">
        <f t="shared" si="2"/>
        <v>1325.422873875239</v>
      </c>
      <c r="K147" s="2">
        <v>37.385739999999998</v>
      </c>
      <c r="L147">
        <v>-4.2516939999999996</v>
      </c>
    </row>
    <row r="148" spans="1:12" ht="34.200000000000003" customHeight="1" thickBot="1" x14ac:dyDescent="0.35">
      <c r="A148" s="1">
        <v>1405504</v>
      </c>
      <c r="B148" s="2" t="s">
        <v>58</v>
      </c>
      <c r="C148" s="2">
        <v>4</v>
      </c>
      <c r="D148" s="2">
        <v>14817</v>
      </c>
      <c r="E148" s="9">
        <v>1857</v>
      </c>
      <c r="F148" s="9">
        <v>13650</v>
      </c>
      <c r="G148" s="3">
        <v>11</v>
      </c>
      <c r="H148" s="3">
        <v>29.9</v>
      </c>
      <c r="I148" s="3">
        <v>2.1</v>
      </c>
      <c r="J148" s="5">
        <f t="shared" si="2"/>
        <v>1449.432352686244</v>
      </c>
      <c r="K148" s="2">
        <v>37.498668000000002</v>
      </c>
      <c r="L148">
        <v>-4.1828409999999998</v>
      </c>
    </row>
    <row r="149" spans="1:12" ht="34.200000000000003" customHeight="1" thickBot="1" x14ac:dyDescent="0.35">
      <c r="A149" s="1">
        <v>1405601</v>
      </c>
      <c r="B149" s="2" t="s">
        <v>59</v>
      </c>
      <c r="C149" s="2">
        <v>1</v>
      </c>
      <c r="D149" s="2">
        <v>14500</v>
      </c>
      <c r="E149" s="9">
        <v>3196</v>
      </c>
      <c r="F149" s="9">
        <v>15050</v>
      </c>
      <c r="G149" s="3">
        <v>16.7</v>
      </c>
      <c r="H149" s="3">
        <v>20.100000000000001</v>
      </c>
      <c r="I149" s="3">
        <v>2.5</v>
      </c>
      <c r="J149" s="5">
        <f t="shared" si="2"/>
        <v>3002.5661323757558</v>
      </c>
      <c r="K149" s="2">
        <v>37.368440999999997</v>
      </c>
      <c r="L149">
        <v>-4.7942330000000002</v>
      </c>
    </row>
    <row r="150" spans="1:12" ht="34.200000000000003" customHeight="1" thickBot="1" x14ac:dyDescent="0.35">
      <c r="A150" s="1">
        <v>1405602</v>
      </c>
      <c r="B150" s="2" t="s">
        <v>59</v>
      </c>
      <c r="C150" s="2">
        <v>2</v>
      </c>
      <c r="D150" s="2">
        <v>14500</v>
      </c>
      <c r="E150" s="9">
        <v>3854</v>
      </c>
      <c r="F150" s="9">
        <v>15050</v>
      </c>
      <c r="G150" s="3">
        <v>17.899999999999999</v>
      </c>
      <c r="H150" s="3">
        <v>19.399999999999999</v>
      </c>
      <c r="I150" s="3">
        <v>2.5</v>
      </c>
      <c r="J150" s="5">
        <f t="shared" si="2"/>
        <v>3691.9569253438958</v>
      </c>
      <c r="K150" s="2">
        <v>37.383068000000002</v>
      </c>
      <c r="L150">
        <v>-4.7736299999999998</v>
      </c>
    </row>
    <row r="151" spans="1:12" ht="34.200000000000003" customHeight="1" thickBot="1" x14ac:dyDescent="0.35">
      <c r="A151" s="1">
        <v>1405603</v>
      </c>
      <c r="B151" s="2" t="s">
        <v>59</v>
      </c>
      <c r="C151" s="2">
        <v>3</v>
      </c>
      <c r="D151" s="2">
        <v>14500</v>
      </c>
      <c r="E151" s="9">
        <v>6841</v>
      </c>
      <c r="F151" s="9">
        <v>15750</v>
      </c>
      <c r="G151" s="3">
        <v>16.7</v>
      </c>
      <c r="H151" s="3">
        <v>20</v>
      </c>
      <c r="I151" s="3">
        <v>2.6</v>
      </c>
      <c r="J151" s="5">
        <f t="shared" si="2"/>
        <v>6602.1005999602194</v>
      </c>
      <c r="K151" s="2">
        <v>37.388568999999997</v>
      </c>
      <c r="L151">
        <v>-4.7739190000000002</v>
      </c>
    </row>
    <row r="152" spans="1:12" ht="34.200000000000003" customHeight="1" thickBot="1" x14ac:dyDescent="0.35">
      <c r="A152" s="1">
        <v>1405604</v>
      </c>
      <c r="B152" s="2" t="s">
        <v>59</v>
      </c>
      <c r="C152" s="2">
        <v>4</v>
      </c>
      <c r="D152" s="2">
        <v>14500</v>
      </c>
      <c r="E152" s="9">
        <v>8660</v>
      </c>
      <c r="F152" s="9">
        <v>15050</v>
      </c>
      <c r="G152" s="3">
        <v>19.399999999999999</v>
      </c>
      <c r="H152" s="3">
        <v>17.2</v>
      </c>
      <c r="I152" s="3">
        <v>2.5</v>
      </c>
      <c r="J152" s="5">
        <f t="shared" si="2"/>
        <v>8607.5087408413838</v>
      </c>
      <c r="K152" s="2">
        <v>37.389974000000002</v>
      </c>
      <c r="L152">
        <v>-4.7672369999999997</v>
      </c>
    </row>
    <row r="153" spans="1:12" ht="34.200000000000003" customHeight="1" thickBot="1" x14ac:dyDescent="0.35">
      <c r="A153" s="1">
        <v>1405605</v>
      </c>
      <c r="B153" s="2" t="s">
        <v>59</v>
      </c>
      <c r="C153" s="2">
        <v>5</v>
      </c>
      <c r="D153" s="2">
        <v>14510</v>
      </c>
      <c r="E153" s="9">
        <v>7002</v>
      </c>
      <c r="F153" s="9">
        <v>13650</v>
      </c>
      <c r="G153" s="3">
        <v>18.600000000000001</v>
      </c>
      <c r="H153" s="3">
        <v>17.3</v>
      </c>
      <c r="I153" s="3">
        <v>2.5</v>
      </c>
      <c r="J153" s="5">
        <f t="shared" si="2"/>
        <v>6256.571151059401</v>
      </c>
      <c r="K153" s="2">
        <v>37.432031000000002</v>
      </c>
      <c r="L153">
        <v>-4.7694049999999999</v>
      </c>
    </row>
    <row r="154" spans="1:12" ht="34.200000000000003" customHeight="1" thickBot="1" x14ac:dyDescent="0.35">
      <c r="A154" s="1">
        <v>1405701</v>
      </c>
      <c r="B154" s="2" t="s">
        <v>607</v>
      </c>
      <c r="C154" s="2">
        <v>1</v>
      </c>
      <c r="D154" s="2">
        <v>14540</v>
      </c>
      <c r="E154" s="9">
        <v>7416</v>
      </c>
      <c r="F154" s="9">
        <v>15750</v>
      </c>
      <c r="G154" s="3">
        <v>16.2</v>
      </c>
      <c r="H154" s="3">
        <v>19.5</v>
      </c>
      <c r="I154" s="3">
        <v>2.5</v>
      </c>
      <c r="J154" s="5">
        <f t="shared" si="2"/>
        <v>7298.7575583071712</v>
      </c>
      <c r="K154" s="2">
        <v>37.664529999999999</v>
      </c>
      <c r="L154">
        <v>-4.8171290000000004</v>
      </c>
    </row>
    <row r="155" spans="1:12" ht="34.200000000000003" customHeight="1" thickBot="1" x14ac:dyDescent="0.35">
      <c r="A155" s="1">
        <v>1405801</v>
      </c>
      <c r="B155" s="2" t="s">
        <v>61</v>
      </c>
      <c r="C155" s="2">
        <v>1</v>
      </c>
      <c r="D155" s="2">
        <v>14960</v>
      </c>
      <c r="E155" s="9">
        <v>2278</v>
      </c>
      <c r="F155" s="9">
        <v>15050</v>
      </c>
      <c r="G155" s="3">
        <v>15.9</v>
      </c>
      <c r="H155" s="3">
        <v>21.4</v>
      </c>
      <c r="I155" s="3">
        <v>2.2999999999999998</v>
      </c>
      <c r="J155" s="5">
        <f t="shared" si="2"/>
        <v>2182.7314154096243</v>
      </c>
      <c r="K155" s="2">
        <v>37.326529999999998</v>
      </c>
      <c r="L155">
        <v>-4.3699700000000004</v>
      </c>
    </row>
    <row r="156" spans="1:12" ht="34.200000000000003" customHeight="1" thickBot="1" x14ac:dyDescent="0.35">
      <c r="A156" s="1">
        <v>1405802</v>
      </c>
      <c r="B156" s="2" t="s">
        <v>61</v>
      </c>
      <c r="C156" s="2">
        <v>2</v>
      </c>
      <c r="D156" s="2">
        <v>14960</v>
      </c>
      <c r="E156" s="9">
        <v>784</v>
      </c>
      <c r="F156" s="9">
        <v>15750</v>
      </c>
      <c r="G156" s="3">
        <v>11.1</v>
      </c>
      <c r="H156" s="3">
        <v>25.1</v>
      </c>
      <c r="I156" s="3">
        <v>2.2000000000000002</v>
      </c>
      <c r="J156" s="5">
        <f t="shared" si="2"/>
        <v>731.51952205908026</v>
      </c>
      <c r="K156" s="2">
        <v>37.324057000000003</v>
      </c>
      <c r="L156">
        <v>-4.3702519999999998</v>
      </c>
    </row>
    <row r="157" spans="1:12" ht="34.200000000000003" customHeight="1" thickBot="1" x14ac:dyDescent="0.35">
      <c r="A157" s="1">
        <v>1405803</v>
      </c>
      <c r="B157" s="2" t="s">
        <v>61</v>
      </c>
      <c r="C157" s="2">
        <v>3</v>
      </c>
      <c r="D157" s="2">
        <v>14960</v>
      </c>
      <c r="E157" s="9">
        <v>2793</v>
      </c>
      <c r="F157" s="9">
        <v>14350</v>
      </c>
      <c r="G157" s="3">
        <v>18</v>
      </c>
      <c r="H157" s="3">
        <v>20.399999999999999</v>
      </c>
      <c r="I157" s="3">
        <v>2.2999999999999998</v>
      </c>
      <c r="J157" s="5">
        <f t="shared" si="2"/>
        <v>2635.4266021536619</v>
      </c>
      <c r="K157" s="2">
        <v>37.327388999999997</v>
      </c>
      <c r="L157">
        <v>-4.373367</v>
      </c>
    </row>
    <row r="158" spans="1:12" ht="34.200000000000003" customHeight="1" thickBot="1" x14ac:dyDescent="0.35">
      <c r="A158" s="1">
        <v>1405804</v>
      </c>
      <c r="B158" s="2" t="s">
        <v>61</v>
      </c>
      <c r="C158" s="2">
        <v>4</v>
      </c>
      <c r="D158" s="2">
        <v>14960</v>
      </c>
      <c r="E158" s="9">
        <v>1623</v>
      </c>
      <c r="F158" s="9">
        <v>13650</v>
      </c>
      <c r="G158" s="3">
        <v>15.3</v>
      </c>
      <c r="H158" s="3">
        <v>23.2</v>
      </c>
      <c r="I158" s="3">
        <v>2.2999999999999998</v>
      </c>
      <c r="J158" s="5">
        <f t="shared" si="2"/>
        <v>1374.6403016240267</v>
      </c>
      <c r="K158" s="2">
        <v>37.328032</v>
      </c>
      <c r="L158">
        <v>-4.3659309999999998</v>
      </c>
    </row>
    <row r="159" spans="1:12" ht="34.200000000000003" customHeight="1" thickBot="1" x14ac:dyDescent="0.35">
      <c r="A159" s="1">
        <v>1405805</v>
      </c>
      <c r="B159" s="2" t="s">
        <v>61</v>
      </c>
      <c r="C159" s="2">
        <v>5</v>
      </c>
      <c r="D159" s="2">
        <v>14960</v>
      </c>
      <c r="E159" s="9">
        <v>2245</v>
      </c>
      <c r="F159" s="9">
        <v>14350</v>
      </c>
      <c r="G159" s="3">
        <v>17.100000000000001</v>
      </c>
      <c r="H159" s="3">
        <v>19.2</v>
      </c>
      <c r="I159" s="3">
        <v>2.2999999999999998</v>
      </c>
      <c r="J159" s="5">
        <f t="shared" si="2"/>
        <v>2124.8545598027704</v>
      </c>
      <c r="K159" s="2">
        <v>37.348371999999998</v>
      </c>
      <c r="L159">
        <v>-4.368487</v>
      </c>
    </row>
    <row r="160" spans="1:12" ht="34.200000000000003" customHeight="1" thickBot="1" x14ac:dyDescent="0.35">
      <c r="A160" s="1">
        <v>1405901</v>
      </c>
      <c r="B160" s="2" t="s">
        <v>62</v>
      </c>
      <c r="C160" s="2">
        <v>1</v>
      </c>
      <c r="D160" s="2">
        <v>14150</v>
      </c>
      <c r="E160" s="9">
        <v>854</v>
      </c>
      <c r="F160" s="9">
        <v>16450</v>
      </c>
      <c r="G160" s="3">
        <v>15.6</v>
      </c>
      <c r="H160" s="3">
        <v>25.4</v>
      </c>
      <c r="I160" s="3">
        <v>2.2999999999999998</v>
      </c>
      <c r="J160" s="5">
        <f t="shared" si="2"/>
        <v>853.70648703849827</v>
      </c>
      <c r="K160" s="2">
        <v>37.667093000000001</v>
      </c>
      <c r="L160">
        <v>-4.832147</v>
      </c>
    </row>
    <row r="161" spans="1:12" ht="34.200000000000003" customHeight="1" thickBot="1" x14ac:dyDescent="0.35">
      <c r="A161" s="1">
        <v>1406101</v>
      </c>
      <c r="B161" s="2" t="s">
        <v>64</v>
      </c>
      <c r="C161" s="2">
        <v>1</v>
      </c>
      <c r="D161" s="2">
        <v>14491</v>
      </c>
      <c r="E161" s="9">
        <v>669</v>
      </c>
      <c r="F161" s="9">
        <v>14350</v>
      </c>
      <c r="G161" s="3">
        <v>6.6</v>
      </c>
      <c r="H161" s="3">
        <v>35.9</v>
      </c>
      <c r="I161" s="3">
        <v>1.9</v>
      </c>
      <c r="J161" s="5">
        <f t="shared" si="2"/>
        <v>503.10985118308571</v>
      </c>
      <c r="K161" s="2">
        <v>38.605998</v>
      </c>
      <c r="L161">
        <v>-4.8975369999999998</v>
      </c>
    </row>
    <row r="162" spans="1:12" ht="34.200000000000003" customHeight="1" thickBot="1" x14ac:dyDescent="0.35">
      <c r="A162" s="1">
        <v>1406001</v>
      </c>
      <c r="B162" s="2" t="s">
        <v>63</v>
      </c>
      <c r="C162" s="2">
        <v>1</v>
      </c>
      <c r="D162" s="2">
        <v>14546</v>
      </c>
      <c r="E162" s="9">
        <v>1632</v>
      </c>
      <c r="F162" s="9">
        <v>14350</v>
      </c>
      <c r="G162" s="3">
        <v>18.899999999999999</v>
      </c>
      <c r="H162" s="3">
        <v>21</v>
      </c>
      <c r="I162" s="3">
        <v>2.6</v>
      </c>
      <c r="J162" s="5">
        <f t="shared" si="2"/>
        <v>1452.8148230303011</v>
      </c>
      <c r="K162" s="2">
        <v>37.533259999999999</v>
      </c>
      <c r="L162">
        <v>-4.8522629999999998</v>
      </c>
    </row>
    <row r="163" spans="1:12" ht="34.200000000000003" customHeight="1" thickBot="1" x14ac:dyDescent="0.35">
      <c r="A163" s="1">
        <v>1406002</v>
      </c>
      <c r="B163" s="2" t="s">
        <v>63</v>
      </c>
      <c r="C163" s="2">
        <v>2</v>
      </c>
      <c r="D163" s="2">
        <v>14546</v>
      </c>
      <c r="E163" s="9">
        <v>3035</v>
      </c>
      <c r="F163" s="9">
        <v>15750</v>
      </c>
      <c r="G163" s="3">
        <v>18.899999999999999</v>
      </c>
      <c r="H163" s="3">
        <v>20.7</v>
      </c>
      <c r="I163" s="3">
        <v>2.7</v>
      </c>
      <c r="J163" s="5">
        <f t="shared" si="2"/>
        <v>2918.8451012042219</v>
      </c>
      <c r="K163" s="2">
        <v>37.561742000000002</v>
      </c>
      <c r="L163">
        <v>-4.841596</v>
      </c>
    </row>
    <row r="164" spans="1:12" ht="34.200000000000003" customHeight="1" thickBot="1" x14ac:dyDescent="0.35">
      <c r="A164" s="1">
        <v>1406201</v>
      </c>
      <c r="B164" s="2" t="s">
        <v>65</v>
      </c>
      <c r="C164" s="2">
        <v>1</v>
      </c>
      <c r="D164" s="2">
        <v>14410</v>
      </c>
      <c r="E164" s="9">
        <v>960</v>
      </c>
      <c r="F164" s="9">
        <v>15750</v>
      </c>
      <c r="G164" s="3">
        <v>9.5</v>
      </c>
      <c r="H164" s="3">
        <v>31.5</v>
      </c>
      <c r="I164" s="3">
        <v>2.1</v>
      </c>
      <c r="J164" s="5">
        <f t="shared" si="2"/>
        <v>831.53193981310733</v>
      </c>
      <c r="K164" s="2">
        <v>38.479978000000003</v>
      </c>
      <c r="L164">
        <v>-4.6627280000000004</v>
      </c>
    </row>
    <row r="165" spans="1:12" ht="34.200000000000003" customHeight="1" thickBot="1" x14ac:dyDescent="0.35">
      <c r="A165" s="1">
        <v>1406202</v>
      </c>
      <c r="B165" s="2" t="s">
        <v>65</v>
      </c>
      <c r="C165" s="2">
        <v>2</v>
      </c>
      <c r="D165" s="2">
        <v>14410</v>
      </c>
      <c r="E165" s="9">
        <v>80</v>
      </c>
      <c r="F165" s="9">
        <v>15750</v>
      </c>
      <c r="G165" s="3">
        <v>9.5</v>
      </c>
      <c r="H165" s="3">
        <v>31.5</v>
      </c>
      <c r="I165" s="3">
        <v>2.1</v>
      </c>
      <c r="J165" s="5">
        <f t="shared" si="2"/>
        <v>69.294328317758954</v>
      </c>
      <c r="K165" s="2">
        <v>38.462479000000002</v>
      </c>
      <c r="L165">
        <v>-4.6348029999999998</v>
      </c>
    </row>
    <row r="166" spans="1:12" ht="34.200000000000003" customHeight="1" thickBot="1" x14ac:dyDescent="0.35">
      <c r="A166" s="1">
        <v>1406301</v>
      </c>
      <c r="B166" s="2" t="s">
        <v>66</v>
      </c>
      <c r="C166" s="2">
        <v>1</v>
      </c>
      <c r="D166" s="2">
        <v>14670</v>
      </c>
      <c r="E166" s="9">
        <v>1041</v>
      </c>
      <c r="F166" s="9">
        <v>13650</v>
      </c>
      <c r="G166" s="3">
        <v>9.4</v>
      </c>
      <c r="H166" s="3">
        <v>32.200000000000003</v>
      </c>
      <c r="I166" s="3">
        <v>2</v>
      </c>
      <c r="J166" s="5">
        <f t="shared" si="2"/>
        <v>792.55219368028042</v>
      </c>
      <c r="K166" s="2">
        <v>37.769758000000003</v>
      </c>
      <c r="L166">
        <v>-4.2411430000000001</v>
      </c>
    </row>
    <row r="167" spans="1:12" ht="34.200000000000003" customHeight="1" thickBot="1" x14ac:dyDescent="0.35">
      <c r="A167" s="1">
        <v>1406401</v>
      </c>
      <c r="B167" s="2" t="s">
        <v>67</v>
      </c>
      <c r="C167" s="2">
        <v>1</v>
      </c>
      <c r="D167" s="2">
        <v>14206</v>
      </c>
      <c r="E167" s="9">
        <v>361</v>
      </c>
      <c r="F167" s="9">
        <v>13650</v>
      </c>
      <c r="G167" s="3">
        <v>11.4</v>
      </c>
      <c r="H167" s="3">
        <v>34.4</v>
      </c>
      <c r="I167" s="3">
        <v>2.1</v>
      </c>
      <c r="J167" s="5">
        <f t="shared" si="2"/>
        <v>267.52422836788134</v>
      </c>
      <c r="K167" s="2">
        <v>38.458993999999997</v>
      </c>
      <c r="L167">
        <v>-5.3751300000000004</v>
      </c>
    </row>
    <row r="168" spans="1:12" ht="34.200000000000003" customHeight="1" thickBot="1" x14ac:dyDescent="0.35">
      <c r="A168" s="1">
        <v>1406501</v>
      </c>
      <c r="B168" s="2" t="s">
        <v>608</v>
      </c>
      <c r="C168" s="2">
        <v>1</v>
      </c>
      <c r="D168" s="2">
        <v>14140</v>
      </c>
      <c r="E168" s="9">
        <v>2328</v>
      </c>
      <c r="F168" s="9">
        <v>15750</v>
      </c>
      <c r="G168" s="3">
        <v>18.7</v>
      </c>
      <c r="H168" s="3">
        <v>20.100000000000001</v>
      </c>
      <c r="I168" s="3">
        <v>2.4</v>
      </c>
      <c r="J168" s="5">
        <f t="shared" si="2"/>
        <v>2384.3884925042344</v>
      </c>
      <c r="K168" s="2">
        <v>37.696444</v>
      </c>
      <c r="L168">
        <v>-4.8546329999999998</v>
      </c>
    </row>
    <row r="169" spans="1:12" ht="34.200000000000003" customHeight="1" thickBot="1" x14ac:dyDescent="0.35">
      <c r="A169" s="1">
        <v>1406601</v>
      </c>
      <c r="B169" s="2" t="s">
        <v>69</v>
      </c>
      <c r="C169" s="2">
        <v>1</v>
      </c>
      <c r="D169" s="2">
        <v>14640</v>
      </c>
      <c r="E169" s="9">
        <v>3768</v>
      </c>
      <c r="F169" s="9">
        <v>14350</v>
      </c>
      <c r="G169" s="3">
        <v>17.600000000000001</v>
      </c>
      <c r="H169" s="3">
        <v>19.100000000000001</v>
      </c>
      <c r="I169" s="3">
        <v>2.6</v>
      </c>
      <c r="J169" s="5">
        <f t="shared" si="2"/>
        <v>3374.8505123403365</v>
      </c>
      <c r="K169" s="2">
        <v>37.997787000000002</v>
      </c>
      <c r="L169">
        <v>-4.3099220000000003</v>
      </c>
    </row>
    <row r="170" spans="1:12" ht="34.200000000000003" customHeight="1" thickBot="1" x14ac:dyDescent="0.35">
      <c r="A170" s="1">
        <v>1406602</v>
      </c>
      <c r="B170" s="2" t="s">
        <v>69</v>
      </c>
      <c r="C170" s="2">
        <v>2</v>
      </c>
      <c r="D170" s="2">
        <v>14640</v>
      </c>
      <c r="E170" s="9">
        <v>3092</v>
      </c>
      <c r="F170" s="9">
        <v>15050</v>
      </c>
      <c r="G170" s="3">
        <v>16.399999999999999</v>
      </c>
      <c r="H170" s="3">
        <v>22.5</v>
      </c>
      <c r="I170" s="3">
        <v>2.6</v>
      </c>
      <c r="J170" s="5">
        <f t="shared" si="2"/>
        <v>2768.835104179595</v>
      </c>
      <c r="K170" s="2">
        <v>37.973863999999999</v>
      </c>
      <c r="L170">
        <v>-4.2770450000000002</v>
      </c>
    </row>
    <row r="171" spans="1:12" ht="34.200000000000003" customHeight="1" thickBot="1" x14ac:dyDescent="0.35">
      <c r="A171" s="1">
        <v>1406701</v>
      </c>
      <c r="B171" s="2" t="s">
        <v>70</v>
      </c>
      <c r="C171" s="2">
        <v>1</v>
      </c>
      <c r="D171" s="2">
        <v>14420</v>
      </c>
      <c r="E171" s="9">
        <v>3001</v>
      </c>
      <c r="F171" s="9">
        <v>16450</v>
      </c>
      <c r="G171" s="3">
        <v>17.3</v>
      </c>
      <c r="H171" s="3">
        <v>20.9</v>
      </c>
      <c r="I171" s="3">
        <v>2.5</v>
      </c>
      <c r="J171" s="5">
        <f t="shared" si="2"/>
        <v>3075.2548795087341</v>
      </c>
      <c r="K171" s="2">
        <v>37.961198000000003</v>
      </c>
      <c r="L171">
        <v>-4.5446720000000003</v>
      </c>
    </row>
    <row r="172" spans="1:12" ht="34.200000000000003" customHeight="1" thickBot="1" x14ac:dyDescent="0.35">
      <c r="A172" s="1">
        <v>1406702</v>
      </c>
      <c r="B172" s="2" t="s">
        <v>70</v>
      </c>
      <c r="C172" s="2">
        <v>2</v>
      </c>
      <c r="D172" s="2">
        <v>14420</v>
      </c>
      <c r="E172" s="9">
        <v>1874</v>
      </c>
      <c r="F172" s="9">
        <v>16450</v>
      </c>
      <c r="G172" s="3">
        <v>22.6</v>
      </c>
      <c r="H172" s="3">
        <v>10.9</v>
      </c>
      <c r="I172" s="3">
        <v>2.7</v>
      </c>
      <c r="J172" s="5">
        <f t="shared" si="2"/>
        <v>2141.1592473138699</v>
      </c>
      <c r="K172" s="2">
        <v>37.942732999999997</v>
      </c>
      <c r="L172">
        <v>-4.5581610000000001</v>
      </c>
    </row>
    <row r="173" spans="1:12" ht="34.200000000000003" customHeight="1" thickBot="1" x14ac:dyDescent="0.35">
      <c r="A173" s="1">
        <v>1406801</v>
      </c>
      <c r="B173" s="2" t="s">
        <v>71</v>
      </c>
      <c r="C173" s="2">
        <v>1</v>
      </c>
      <c r="D173" s="2">
        <v>14210</v>
      </c>
      <c r="E173" s="9">
        <v>574</v>
      </c>
      <c r="F173" s="9">
        <v>15750</v>
      </c>
      <c r="G173" s="3">
        <v>10.1</v>
      </c>
      <c r="H173" s="3">
        <v>27</v>
      </c>
      <c r="I173" s="3">
        <v>2</v>
      </c>
      <c r="J173" s="5">
        <f t="shared" si="2"/>
        <v>542.77603663171624</v>
      </c>
      <c r="K173" s="2">
        <v>38.138604999999998</v>
      </c>
      <c r="L173">
        <v>-4.8998350000000004</v>
      </c>
    </row>
    <row r="174" spans="1:12" ht="34.200000000000003" customHeight="1" thickBot="1" x14ac:dyDescent="0.35">
      <c r="A174" s="1">
        <v>1406901</v>
      </c>
      <c r="B174" s="2" t="s">
        <v>72</v>
      </c>
      <c r="C174" s="2">
        <v>1</v>
      </c>
      <c r="D174" s="2">
        <v>14440</v>
      </c>
      <c r="E174" s="9">
        <v>2420</v>
      </c>
      <c r="F174" s="9">
        <v>15050</v>
      </c>
      <c r="G174" s="3">
        <v>15.8</v>
      </c>
      <c r="H174" s="3">
        <v>21.2</v>
      </c>
      <c r="I174" s="3">
        <v>2.4</v>
      </c>
      <c r="J174" s="5">
        <f t="shared" si="2"/>
        <v>2272.3727385513566</v>
      </c>
      <c r="K174" s="2">
        <v>38.324553000000002</v>
      </c>
      <c r="L174">
        <v>-4.6277699999999999</v>
      </c>
    </row>
    <row r="175" spans="1:12" ht="34.200000000000003" customHeight="1" thickBot="1" x14ac:dyDescent="0.35">
      <c r="A175" s="1">
        <v>1406902</v>
      </c>
      <c r="B175" s="2" t="s">
        <v>72</v>
      </c>
      <c r="C175" s="2">
        <v>2</v>
      </c>
      <c r="D175" s="2">
        <v>14440</v>
      </c>
      <c r="E175" s="9">
        <v>2797</v>
      </c>
      <c r="F175" s="9">
        <v>15750</v>
      </c>
      <c r="G175" s="3">
        <v>12.7</v>
      </c>
      <c r="H175" s="3">
        <v>25.5</v>
      </c>
      <c r="I175" s="3">
        <v>2.2999999999999998</v>
      </c>
      <c r="J175" s="5">
        <f t="shared" si="2"/>
        <v>2588.0209070348014</v>
      </c>
      <c r="K175" s="2">
        <v>38.247334000000002</v>
      </c>
      <c r="L175">
        <v>-4.6941050000000004</v>
      </c>
    </row>
    <row r="176" spans="1:12" ht="34.200000000000003" customHeight="1" thickBot="1" x14ac:dyDescent="0.35">
      <c r="A176" s="1">
        <v>1406903</v>
      </c>
      <c r="B176" s="2" t="s">
        <v>72</v>
      </c>
      <c r="C176" s="2">
        <v>3</v>
      </c>
      <c r="D176" s="2">
        <v>14440</v>
      </c>
      <c r="E176" s="9">
        <v>1755</v>
      </c>
      <c r="F176" s="9">
        <v>12950</v>
      </c>
      <c r="G176" s="3">
        <v>15.5</v>
      </c>
      <c r="H176" s="3">
        <v>23.2</v>
      </c>
      <c r="I176" s="3">
        <v>2.2999999999999998</v>
      </c>
      <c r="J176" s="5">
        <f t="shared" si="2"/>
        <v>1413.2756007623157</v>
      </c>
      <c r="K176" s="2">
        <v>38.198546</v>
      </c>
      <c r="L176">
        <v>-4.6511449999999996</v>
      </c>
    </row>
    <row r="177" spans="1:12" ht="34.200000000000003" customHeight="1" thickBot="1" x14ac:dyDescent="0.35">
      <c r="A177" s="1">
        <v>1406904</v>
      </c>
      <c r="B177" s="2" t="s">
        <v>72</v>
      </c>
      <c r="C177" s="2">
        <v>4</v>
      </c>
      <c r="D177" s="2">
        <v>14440</v>
      </c>
      <c r="E177" s="9">
        <v>1228</v>
      </c>
      <c r="F177" s="9">
        <v>14350</v>
      </c>
      <c r="G177" s="3">
        <v>15.3</v>
      </c>
      <c r="H177" s="3">
        <v>26.9</v>
      </c>
      <c r="I177" s="3">
        <v>2.4</v>
      </c>
      <c r="J177" s="5">
        <f t="shared" si="2"/>
        <v>1027.398910921411</v>
      </c>
      <c r="K177" s="2">
        <v>38.316242000000003</v>
      </c>
      <c r="L177">
        <v>-4.5565879999999996</v>
      </c>
    </row>
    <row r="178" spans="1:12" ht="34.200000000000003" customHeight="1" thickBot="1" x14ac:dyDescent="0.35">
      <c r="A178" s="1">
        <v>1407001</v>
      </c>
      <c r="B178" s="2" t="s">
        <v>73</v>
      </c>
      <c r="C178" s="2">
        <v>1</v>
      </c>
      <c r="D178" s="2">
        <v>14439</v>
      </c>
      <c r="E178" s="9">
        <v>684</v>
      </c>
      <c r="F178" s="9">
        <v>15750</v>
      </c>
      <c r="G178" s="3">
        <v>12.1</v>
      </c>
      <c r="H178" s="3">
        <v>32.200000000000003</v>
      </c>
      <c r="I178" s="3">
        <v>2.2999999999999998</v>
      </c>
      <c r="J178" s="5">
        <f t="shared" si="2"/>
        <v>579.91148528609926</v>
      </c>
      <c r="K178" s="2">
        <v>38.338723999999999</v>
      </c>
      <c r="L178">
        <v>-5.0421420000000001</v>
      </c>
    </row>
    <row r="179" spans="1:12" ht="34.200000000000003" customHeight="1" thickBot="1" x14ac:dyDescent="0.35">
      <c r="A179" s="1">
        <v>1407002</v>
      </c>
      <c r="B179" s="2" t="s">
        <v>73</v>
      </c>
      <c r="C179" s="2">
        <v>2</v>
      </c>
      <c r="D179" s="2">
        <v>14439</v>
      </c>
      <c r="E179" s="9">
        <v>659</v>
      </c>
      <c r="F179" s="9">
        <v>15050</v>
      </c>
      <c r="G179" s="3">
        <v>11.7</v>
      </c>
      <c r="H179" s="3">
        <v>30.4</v>
      </c>
      <c r="I179" s="3">
        <v>2.2000000000000002</v>
      </c>
      <c r="J179" s="5">
        <f t="shared" si="2"/>
        <v>555.44787383082098</v>
      </c>
      <c r="K179" s="2">
        <v>38.399622000000001</v>
      </c>
      <c r="L179">
        <v>-5.0216310000000002</v>
      </c>
    </row>
    <row r="180" spans="1:12" ht="34.200000000000003" customHeight="1" thickBot="1" x14ac:dyDescent="0.35">
      <c r="A180" s="1">
        <v>1407101</v>
      </c>
      <c r="B180" s="2" t="s">
        <v>74</v>
      </c>
      <c r="C180" s="2">
        <v>1</v>
      </c>
      <c r="D180" s="2">
        <v>14230</v>
      </c>
      <c r="E180" s="9">
        <v>965</v>
      </c>
      <c r="F180" s="9">
        <v>14350</v>
      </c>
      <c r="G180" s="3">
        <v>14.8</v>
      </c>
      <c r="H180" s="3">
        <v>24.3</v>
      </c>
      <c r="I180" s="3">
        <v>2.1</v>
      </c>
      <c r="J180" s="5">
        <f t="shared" si="2"/>
        <v>883.60941609771373</v>
      </c>
      <c r="K180" s="2">
        <v>38.143661999999999</v>
      </c>
      <c r="L180">
        <v>-5.1893000000000002</v>
      </c>
    </row>
    <row r="181" spans="1:12" ht="34.200000000000003" customHeight="1" thickBot="1" x14ac:dyDescent="0.35">
      <c r="A181" s="1">
        <v>1407201</v>
      </c>
      <c r="B181" s="2" t="s">
        <v>75</v>
      </c>
      <c r="C181" s="2">
        <v>1</v>
      </c>
      <c r="D181" s="2">
        <v>14411</v>
      </c>
      <c r="E181" s="9">
        <v>1054</v>
      </c>
      <c r="F181" s="9">
        <v>15050</v>
      </c>
      <c r="G181" s="3">
        <v>11.5</v>
      </c>
      <c r="H181" s="3">
        <v>34.200000000000003</v>
      </c>
      <c r="I181" s="3">
        <v>1.9</v>
      </c>
      <c r="J181" s="5">
        <f t="shared" si="2"/>
        <v>908.91232640198587</v>
      </c>
      <c r="K181" s="2">
        <v>38.455047999999998</v>
      </c>
      <c r="L181">
        <v>-4.975098</v>
      </c>
    </row>
    <row r="182" spans="1:12" ht="34.200000000000003" customHeight="1" thickBot="1" x14ac:dyDescent="0.35">
      <c r="A182" s="1">
        <v>1407301</v>
      </c>
      <c r="B182" s="2" t="s">
        <v>76</v>
      </c>
      <c r="C182" s="2">
        <v>1</v>
      </c>
      <c r="D182" s="2">
        <v>14300</v>
      </c>
      <c r="E182" s="9">
        <v>1534</v>
      </c>
      <c r="F182" s="9">
        <v>13650</v>
      </c>
      <c r="G182" s="3">
        <v>13.6</v>
      </c>
      <c r="H182" s="3">
        <v>28.8</v>
      </c>
      <c r="I182" s="3">
        <v>2.2000000000000002</v>
      </c>
      <c r="J182" s="5">
        <f t="shared" si="2"/>
        <v>1223.1640600724816</v>
      </c>
      <c r="K182" s="2">
        <v>38.084885999999997</v>
      </c>
      <c r="L182">
        <v>-4.9793960000000004</v>
      </c>
    </row>
    <row r="183" spans="1:12" ht="34.200000000000003" customHeight="1" thickBot="1" x14ac:dyDescent="0.35">
      <c r="A183" s="1">
        <v>1407302</v>
      </c>
      <c r="B183" s="2" t="s">
        <v>76</v>
      </c>
      <c r="C183" s="2">
        <v>2</v>
      </c>
      <c r="D183" s="2">
        <v>14300</v>
      </c>
      <c r="E183" s="9">
        <v>1526</v>
      </c>
      <c r="F183" s="9">
        <v>14350</v>
      </c>
      <c r="G183" s="3">
        <v>12.1</v>
      </c>
      <c r="H183" s="3">
        <v>28.2</v>
      </c>
      <c r="I183" s="3">
        <v>2.2000000000000002</v>
      </c>
      <c r="J183" s="5">
        <f t="shared" si="2"/>
        <v>1265.6080953695196</v>
      </c>
      <c r="K183" s="2">
        <v>38.011490999999999</v>
      </c>
      <c r="L183">
        <v>-5.0083029999999997</v>
      </c>
    </row>
    <row r="184" spans="1:12" ht="34.200000000000003" customHeight="1" thickBot="1" x14ac:dyDescent="0.35">
      <c r="A184" s="1">
        <v>1407401</v>
      </c>
      <c r="B184" s="2" t="s">
        <v>609</v>
      </c>
      <c r="C184" s="2">
        <v>1</v>
      </c>
      <c r="D184" s="2">
        <v>14470</v>
      </c>
      <c r="E184" s="9">
        <v>1244</v>
      </c>
      <c r="F184" s="9">
        <v>16450</v>
      </c>
      <c r="G184" s="3">
        <v>14.4</v>
      </c>
      <c r="H184" s="3">
        <v>25.1</v>
      </c>
      <c r="I184" s="3">
        <v>2.2999999999999998</v>
      </c>
      <c r="J184" s="5">
        <f t="shared" si="2"/>
        <v>1231.1642963583029</v>
      </c>
      <c r="K184" s="2">
        <v>38.519996999999996</v>
      </c>
      <c r="L184">
        <v>-4.8996709999999997</v>
      </c>
    </row>
    <row r="185" spans="1:12" ht="34.200000000000003" customHeight="1" thickBot="1" x14ac:dyDescent="0.35">
      <c r="A185" s="1">
        <v>1407402</v>
      </c>
      <c r="B185" s="2" t="s">
        <v>609</v>
      </c>
      <c r="C185" s="2">
        <v>2</v>
      </c>
      <c r="D185" s="2">
        <v>14470</v>
      </c>
      <c r="E185" s="9">
        <v>1201</v>
      </c>
      <c r="F185" s="9">
        <v>14350</v>
      </c>
      <c r="G185" s="3">
        <v>12.4</v>
      </c>
      <c r="H185" s="3">
        <v>26.9</v>
      </c>
      <c r="I185" s="3">
        <v>2.2000000000000002</v>
      </c>
      <c r="J185" s="5">
        <f t="shared" si="2"/>
        <v>1015.0603686054113</v>
      </c>
      <c r="K185" s="2">
        <v>38.480096000000003</v>
      </c>
      <c r="L185">
        <v>-4.9571579999999997</v>
      </c>
    </row>
    <row r="186" spans="1:12" ht="34.200000000000003" customHeight="1" thickBot="1" x14ac:dyDescent="0.35">
      <c r="A186" s="1">
        <v>1407501</v>
      </c>
      <c r="B186" s="2" t="s">
        <v>78</v>
      </c>
      <c r="C186" s="2">
        <v>1</v>
      </c>
      <c r="D186" s="2">
        <v>14870</v>
      </c>
      <c r="E186" s="9">
        <v>606</v>
      </c>
      <c r="F186" s="9">
        <v>15750</v>
      </c>
      <c r="G186" s="3">
        <v>9.6999999999999993</v>
      </c>
      <c r="H186" s="3">
        <v>27.6</v>
      </c>
      <c r="I186" s="3">
        <v>2.1</v>
      </c>
      <c r="J186" s="5">
        <f t="shared" si="2"/>
        <v>552.49567292662391</v>
      </c>
      <c r="K186" s="2">
        <v>37.526778999999998</v>
      </c>
      <c r="L186">
        <v>-4.3325529999999999</v>
      </c>
    </row>
    <row r="187" spans="1:12" ht="34.200000000000003" customHeight="1" thickBot="1" x14ac:dyDescent="0.35">
      <c r="A187" s="1">
        <v>2100101</v>
      </c>
      <c r="B187" s="2" t="s">
        <v>275</v>
      </c>
      <c r="C187" s="2">
        <v>1</v>
      </c>
      <c r="D187" s="2">
        <v>21340</v>
      </c>
      <c r="E187" s="9">
        <v>792</v>
      </c>
      <c r="F187" s="9">
        <v>13650</v>
      </c>
      <c r="G187" s="3">
        <v>13.4</v>
      </c>
      <c r="H187" s="3">
        <v>20.5</v>
      </c>
      <c r="I187" s="3">
        <v>2.2000000000000002</v>
      </c>
      <c r="J187" s="5">
        <f t="shared" si="2"/>
        <v>691.83797304448956</v>
      </c>
      <c r="K187" s="2">
        <v>37.849561000000001</v>
      </c>
      <c r="L187">
        <v>-6.6557810000000002</v>
      </c>
    </row>
    <row r="188" spans="1:12" ht="34.200000000000003" customHeight="1" thickBot="1" x14ac:dyDescent="0.35">
      <c r="A188" s="1">
        <v>2100201</v>
      </c>
      <c r="B188" s="2" t="s">
        <v>276</v>
      </c>
      <c r="C188" s="2">
        <v>1</v>
      </c>
      <c r="D188" s="2">
        <v>21110</v>
      </c>
      <c r="E188" s="9">
        <v>11499</v>
      </c>
      <c r="F188" s="9">
        <v>17850</v>
      </c>
      <c r="G188" s="3">
        <v>20.8</v>
      </c>
      <c r="H188" s="3">
        <v>12.2</v>
      </c>
      <c r="I188" s="3">
        <v>2.8</v>
      </c>
      <c r="J188" s="5">
        <f t="shared" si="2"/>
        <v>13611.039457952407</v>
      </c>
      <c r="K188" s="2">
        <v>37.271653000000001</v>
      </c>
      <c r="L188">
        <v>-7.0237759999999998</v>
      </c>
    </row>
    <row r="189" spans="1:12" ht="34.200000000000003" customHeight="1" thickBot="1" x14ac:dyDescent="0.35">
      <c r="A189" s="1">
        <v>2100202</v>
      </c>
      <c r="B189" s="2" t="s">
        <v>276</v>
      </c>
      <c r="C189" s="2">
        <v>2</v>
      </c>
      <c r="D189" s="2">
        <v>21120</v>
      </c>
      <c r="E189" s="9">
        <v>10962</v>
      </c>
      <c r="F189" s="9">
        <v>24850</v>
      </c>
      <c r="G189" s="3">
        <v>22</v>
      </c>
      <c r="H189" s="3">
        <v>13.3</v>
      </c>
      <c r="I189" s="3">
        <v>3</v>
      </c>
      <c r="J189" s="5">
        <f t="shared" si="2"/>
        <v>17467.361022743327</v>
      </c>
      <c r="K189" s="2">
        <v>37.288111999999998</v>
      </c>
      <c r="L189">
        <v>-6.9837740000000004</v>
      </c>
    </row>
    <row r="190" spans="1:12" ht="34.200000000000003" customHeight="1" thickBot="1" x14ac:dyDescent="0.35">
      <c r="A190" s="1">
        <v>2100301</v>
      </c>
      <c r="B190" s="2" t="s">
        <v>610</v>
      </c>
      <c r="C190" s="2">
        <v>1</v>
      </c>
      <c r="D190" s="2">
        <v>21593</v>
      </c>
      <c r="E190" s="9">
        <v>857</v>
      </c>
      <c r="F190" s="9">
        <v>15400</v>
      </c>
      <c r="G190" s="3">
        <v>14.1</v>
      </c>
      <c r="H190" s="3">
        <v>21.9</v>
      </c>
      <c r="I190" s="3">
        <v>2.2000000000000002</v>
      </c>
      <c r="J190" s="5">
        <f t="shared" si="2"/>
        <v>838.23021683855097</v>
      </c>
      <c r="K190" s="2">
        <v>37.551082000000001</v>
      </c>
      <c r="L190">
        <v>-7.3412160000000002</v>
      </c>
    </row>
    <row r="191" spans="1:12" ht="34.200000000000003" customHeight="1" thickBot="1" x14ac:dyDescent="0.35">
      <c r="A191" s="1">
        <v>2100401</v>
      </c>
      <c r="B191" s="2" t="s">
        <v>278</v>
      </c>
      <c r="C191" s="2">
        <v>1</v>
      </c>
      <c r="D191" s="2">
        <v>21350</v>
      </c>
      <c r="E191" s="9">
        <v>1036</v>
      </c>
      <c r="F191" s="9">
        <v>17150</v>
      </c>
      <c r="G191" s="3">
        <v>10.5</v>
      </c>
      <c r="H191" s="3">
        <v>25.1</v>
      </c>
      <c r="I191" s="3">
        <v>2.1</v>
      </c>
      <c r="J191" s="5">
        <f t="shared" si="2"/>
        <v>1069.8288174662389</v>
      </c>
      <c r="K191" s="2">
        <v>37.868195999999998</v>
      </c>
      <c r="L191">
        <v>-6.8295890000000004</v>
      </c>
    </row>
    <row r="192" spans="1:12" ht="34.200000000000003" customHeight="1" thickBot="1" x14ac:dyDescent="0.35">
      <c r="A192" s="1">
        <v>2100402</v>
      </c>
      <c r="B192" s="2" t="s">
        <v>278</v>
      </c>
      <c r="C192" s="2">
        <v>2</v>
      </c>
      <c r="D192" s="2">
        <v>21350</v>
      </c>
      <c r="E192" s="9">
        <v>717</v>
      </c>
      <c r="F192" s="9">
        <v>17150</v>
      </c>
      <c r="G192" s="3">
        <v>10.7</v>
      </c>
      <c r="H192" s="3">
        <v>26.2</v>
      </c>
      <c r="I192" s="3">
        <v>2</v>
      </c>
      <c r="J192" s="5">
        <f t="shared" si="2"/>
        <v>750.70132110955331</v>
      </c>
      <c r="K192" s="2">
        <v>37.783312000000002</v>
      </c>
      <c r="L192">
        <v>-6.7713330000000003</v>
      </c>
    </row>
    <row r="193" spans="1:12" ht="34.200000000000003" customHeight="1" thickBot="1" x14ac:dyDescent="0.35">
      <c r="A193" s="1">
        <v>2100501</v>
      </c>
      <c r="B193" s="2" t="s">
        <v>279</v>
      </c>
      <c r="C193" s="2">
        <v>1</v>
      </c>
      <c r="D193" s="2">
        <v>21730</v>
      </c>
      <c r="E193" s="9">
        <v>8489</v>
      </c>
      <c r="F193" s="9">
        <v>15050</v>
      </c>
      <c r="G193" s="3">
        <v>18.600000000000001</v>
      </c>
      <c r="H193" s="3">
        <v>11.8</v>
      </c>
      <c r="I193" s="3">
        <v>2.8</v>
      </c>
      <c r="J193" s="5">
        <f t="shared" si="2"/>
        <v>8331.5817408246512</v>
      </c>
      <c r="K193" s="2">
        <v>37.242440999999999</v>
      </c>
      <c r="L193">
        <v>-6.4986430000000004</v>
      </c>
    </row>
    <row r="194" spans="1:12" ht="34.200000000000003" customHeight="1" thickBot="1" x14ac:dyDescent="0.35">
      <c r="A194" s="1">
        <v>2100502</v>
      </c>
      <c r="B194" s="2" t="s">
        <v>279</v>
      </c>
      <c r="C194" s="2">
        <v>2</v>
      </c>
      <c r="D194" s="2">
        <v>21730</v>
      </c>
      <c r="E194" s="9">
        <v>3971</v>
      </c>
      <c r="F194" s="9">
        <v>15050</v>
      </c>
      <c r="G194" s="3">
        <v>16.100000000000001</v>
      </c>
      <c r="H194" s="3">
        <v>18.7</v>
      </c>
      <c r="I194" s="3">
        <v>2.6</v>
      </c>
      <c r="J194" s="5">
        <f t="shared" si="2"/>
        <v>3688.50909679693</v>
      </c>
      <c r="K194" s="2">
        <v>37.248896999999999</v>
      </c>
      <c r="L194">
        <v>-6.5743729999999996</v>
      </c>
    </row>
    <row r="195" spans="1:12" ht="34.200000000000003" customHeight="1" thickBot="1" x14ac:dyDescent="0.35">
      <c r="A195" s="1">
        <v>2100503</v>
      </c>
      <c r="B195" s="2" t="s">
        <v>279</v>
      </c>
      <c r="C195" s="2">
        <v>3</v>
      </c>
      <c r="D195" s="2">
        <v>21750</v>
      </c>
      <c r="E195" s="9">
        <v>12244</v>
      </c>
      <c r="F195" s="9">
        <v>14350</v>
      </c>
      <c r="G195" s="3">
        <v>17.2</v>
      </c>
      <c r="H195" s="3">
        <v>14.6</v>
      </c>
      <c r="I195" s="3">
        <v>2.4</v>
      </c>
      <c r="J195" s="5">
        <f t="shared" si="2"/>
        <v>11889.37843992745</v>
      </c>
      <c r="K195" s="2">
        <v>37.265546999999998</v>
      </c>
      <c r="L195">
        <v>-6.4663190000000004</v>
      </c>
    </row>
    <row r="196" spans="1:12" ht="34.200000000000003" customHeight="1" thickBot="1" x14ac:dyDescent="0.35">
      <c r="A196" s="1">
        <v>2100601</v>
      </c>
      <c r="B196" s="2" t="s">
        <v>280</v>
      </c>
      <c r="C196" s="2">
        <v>1</v>
      </c>
      <c r="D196" s="2">
        <v>21540</v>
      </c>
      <c r="E196" s="9">
        <v>2146</v>
      </c>
      <c r="F196" s="9">
        <v>15050</v>
      </c>
      <c r="G196" s="3">
        <v>15.2</v>
      </c>
      <c r="H196" s="3">
        <v>22.4</v>
      </c>
      <c r="I196" s="3">
        <v>2.2999999999999998</v>
      </c>
      <c r="J196" s="5">
        <f t="shared" si="2"/>
        <v>2019.2610342365119</v>
      </c>
      <c r="K196" s="2">
        <v>37.546753000000002</v>
      </c>
      <c r="L196">
        <v>-7.1144420000000004</v>
      </c>
    </row>
    <row r="197" spans="1:12" ht="34.200000000000003" customHeight="1" thickBot="1" x14ac:dyDescent="0.35">
      <c r="A197" s="1">
        <v>2100602</v>
      </c>
      <c r="B197" s="2" t="s">
        <v>280</v>
      </c>
      <c r="C197" s="2">
        <v>2</v>
      </c>
      <c r="D197" s="2">
        <v>21540</v>
      </c>
      <c r="E197" s="9">
        <v>1851</v>
      </c>
      <c r="F197" s="9">
        <v>15050</v>
      </c>
      <c r="G197" s="3">
        <v>14.6</v>
      </c>
      <c r="H197" s="3">
        <v>24.7</v>
      </c>
      <c r="I197" s="3">
        <v>2.2999999999999998</v>
      </c>
      <c r="J197" s="5">
        <f t="shared" si="2"/>
        <v>1687.2556122659203</v>
      </c>
      <c r="K197" s="2">
        <v>37.597738999999997</v>
      </c>
      <c r="L197">
        <v>-7.1172599999999999</v>
      </c>
    </row>
    <row r="198" spans="1:12" ht="34.200000000000003" customHeight="1" thickBot="1" x14ac:dyDescent="0.35">
      <c r="A198" s="1">
        <v>2100701</v>
      </c>
      <c r="B198" s="2" t="s">
        <v>281</v>
      </c>
      <c r="C198" s="2">
        <v>1</v>
      </c>
      <c r="D198" s="2">
        <v>21200</v>
      </c>
      <c r="E198" s="9">
        <v>2045</v>
      </c>
      <c r="F198" s="9">
        <v>14350</v>
      </c>
      <c r="G198" s="3">
        <v>16.5</v>
      </c>
      <c r="H198" s="3">
        <v>20.3</v>
      </c>
      <c r="I198" s="3">
        <v>2.4</v>
      </c>
      <c r="J198" s="5">
        <f t="shared" si="2"/>
        <v>1861.9021506722686</v>
      </c>
      <c r="K198" s="2">
        <v>37.888693000000004</v>
      </c>
      <c r="L198">
        <v>-6.5599600000000002</v>
      </c>
    </row>
    <row r="199" spans="1:12" ht="34.200000000000003" customHeight="1" thickBot="1" x14ac:dyDescent="0.35">
      <c r="A199" s="1">
        <v>2100702</v>
      </c>
      <c r="B199" s="2" t="s">
        <v>281</v>
      </c>
      <c r="C199" s="2">
        <v>2</v>
      </c>
      <c r="D199" s="2">
        <v>21200</v>
      </c>
      <c r="E199" s="9">
        <v>768</v>
      </c>
      <c r="F199" s="9">
        <v>15750</v>
      </c>
      <c r="G199" s="3">
        <v>15.2</v>
      </c>
      <c r="H199" s="3">
        <v>19.3</v>
      </c>
      <c r="I199" s="3">
        <v>2.2000000000000002</v>
      </c>
      <c r="J199" s="5">
        <f t="shared" si="2"/>
        <v>799.08179020938735</v>
      </c>
      <c r="K199" s="2">
        <v>37.935760000000002</v>
      </c>
      <c r="L199">
        <v>-6.5607559999999996</v>
      </c>
    </row>
    <row r="200" spans="1:12" ht="34.200000000000003" customHeight="1" thickBot="1" x14ac:dyDescent="0.35">
      <c r="A200" s="1">
        <v>2100703</v>
      </c>
      <c r="B200" s="2" t="s">
        <v>281</v>
      </c>
      <c r="C200" s="2">
        <v>3</v>
      </c>
      <c r="D200" s="2">
        <v>21200</v>
      </c>
      <c r="E200" s="9">
        <v>5499</v>
      </c>
      <c r="F200" s="9">
        <v>17150</v>
      </c>
      <c r="G200" s="3">
        <v>20.399999999999999</v>
      </c>
      <c r="H200" s="3">
        <v>16</v>
      </c>
      <c r="I200" s="3">
        <v>2.5</v>
      </c>
      <c r="J200" s="5">
        <f t="shared" ref="J200:J263" si="3">E200*(F200/$H$1)*(1+(G200/100)-(H200/100))*($H$2/I200)^0.5</f>
        <v>6362.3935237664227</v>
      </c>
      <c r="K200" s="2">
        <v>37.896380999999998</v>
      </c>
      <c r="L200">
        <v>-6.5624359999999999</v>
      </c>
    </row>
    <row r="201" spans="1:12" ht="34.200000000000003" customHeight="1" thickBot="1" x14ac:dyDescent="0.35">
      <c r="A201" s="1">
        <v>2100801</v>
      </c>
      <c r="B201" s="2" t="s">
        <v>282</v>
      </c>
      <c r="C201" s="2">
        <v>1</v>
      </c>
      <c r="D201" s="2">
        <v>21240</v>
      </c>
      <c r="E201" s="9">
        <v>1325</v>
      </c>
      <c r="F201" s="9">
        <v>14350</v>
      </c>
      <c r="G201" s="3">
        <v>16.2</v>
      </c>
      <c r="H201" s="3">
        <v>20.8</v>
      </c>
      <c r="I201" s="3">
        <v>2.2000000000000002</v>
      </c>
      <c r="J201" s="5">
        <f t="shared" si="3"/>
        <v>1249.5309064431392</v>
      </c>
      <c r="K201" s="2">
        <v>37.982042</v>
      </c>
      <c r="L201">
        <v>-6.8946969999999999</v>
      </c>
    </row>
    <row r="202" spans="1:12" ht="34.200000000000003" customHeight="1" thickBot="1" x14ac:dyDescent="0.35">
      <c r="A202" s="1">
        <v>2100802</v>
      </c>
      <c r="B202" s="2" t="s">
        <v>282</v>
      </c>
      <c r="C202" s="2">
        <v>2</v>
      </c>
      <c r="D202" s="2">
        <v>21240</v>
      </c>
      <c r="E202" s="9">
        <v>972</v>
      </c>
      <c r="F202" s="9">
        <v>14350</v>
      </c>
      <c r="G202" s="3">
        <v>12</v>
      </c>
      <c r="H202" s="3">
        <v>20.5</v>
      </c>
      <c r="I202" s="3">
        <v>2.2999999999999998</v>
      </c>
      <c r="J202" s="5">
        <f t="shared" si="3"/>
        <v>859.83977487022014</v>
      </c>
      <c r="K202" s="2">
        <v>37.892054999999999</v>
      </c>
      <c r="L202">
        <v>-6.9551480000000003</v>
      </c>
    </row>
    <row r="203" spans="1:12" ht="34.200000000000003" customHeight="1" thickBot="1" x14ac:dyDescent="0.35">
      <c r="A203" s="1">
        <v>2100803</v>
      </c>
      <c r="B203" s="2" t="s">
        <v>282</v>
      </c>
      <c r="C203" s="2">
        <v>3</v>
      </c>
      <c r="D203" s="2">
        <v>21240</v>
      </c>
      <c r="E203" s="9">
        <v>698</v>
      </c>
      <c r="F203" s="9">
        <v>13650</v>
      </c>
      <c r="G203" s="3">
        <v>12.8</v>
      </c>
      <c r="H203" s="3">
        <v>25.9</v>
      </c>
      <c r="I203" s="3">
        <v>2.2000000000000002</v>
      </c>
      <c r="J203" s="5">
        <f t="shared" si="3"/>
        <v>570.3463926207877</v>
      </c>
      <c r="K203" s="2">
        <v>37.961064</v>
      </c>
      <c r="L203">
        <v>-7.0385200000000001</v>
      </c>
    </row>
    <row r="204" spans="1:12" ht="34.200000000000003" customHeight="1" thickBot="1" x14ac:dyDescent="0.35">
      <c r="A204" s="1">
        <v>2100901</v>
      </c>
      <c r="B204" s="2" t="s">
        <v>283</v>
      </c>
      <c r="C204" s="2">
        <v>1</v>
      </c>
      <c r="D204" s="2">
        <v>21280</v>
      </c>
      <c r="E204" s="9">
        <v>924</v>
      </c>
      <c r="F204" s="9">
        <v>11550</v>
      </c>
      <c r="G204" s="3">
        <v>12.6</v>
      </c>
      <c r="H204" s="3">
        <v>26.8</v>
      </c>
      <c r="I204" s="3">
        <v>2.2000000000000002</v>
      </c>
      <c r="J204" s="5">
        <f t="shared" si="3"/>
        <v>630.77154270041183</v>
      </c>
      <c r="K204" s="2">
        <v>38.007997000000003</v>
      </c>
      <c r="L204">
        <v>-6.4180400000000004</v>
      </c>
    </row>
    <row r="205" spans="1:12" ht="34.200000000000003" customHeight="1" thickBot="1" x14ac:dyDescent="0.35">
      <c r="A205" s="1">
        <v>2101001</v>
      </c>
      <c r="B205" s="2" t="s">
        <v>284</v>
      </c>
      <c r="C205" s="2">
        <v>1</v>
      </c>
      <c r="D205" s="2">
        <v>21400</v>
      </c>
      <c r="E205" s="9">
        <v>9299</v>
      </c>
      <c r="F205" s="9">
        <v>15750</v>
      </c>
      <c r="G205" s="3">
        <v>17.2</v>
      </c>
      <c r="H205" s="3">
        <v>17.8</v>
      </c>
      <c r="I205" s="3">
        <v>2.5</v>
      </c>
      <c r="J205" s="5">
        <f t="shared" si="3"/>
        <v>9407.5248652526643</v>
      </c>
      <c r="K205" s="2">
        <v>37.212598999999997</v>
      </c>
      <c r="L205">
        <v>-7.4101910000000002</v>
      </c>
    </row>
    <row r="206" spans="1:12" ht="34.200000000000003" customHeight="1" thickBot="1" x14ac:dyDescent="0.35">
      <c r="A206" s="1">
        <v>2101002</v>
      </c>
      <c r="B206" s="2" t="s">
        <v>284</v>
      </c>
      <c r="C206" s="2">
        <v>2</v>
      </c>
      <c r="D206" s="2">
        <v>21400</v>
      </c>
      <c r="E206" s="9">
        <v>6295</v>
      </c>
      <c r="F206" s="9">
        <v>14350</v>
      </c>
      <c r="G206" s="3">
        <v>15.4</v>
      </c>
      <c r="H206" s="3">
        <v>20.100000000000001</v>
      </c>
      <c r="I206" s="3">
        <v>2.6</v>
      </c>
      <c r="J206" s="5">
        <f t="shared" si="3"/>
        <v>5455.016281469615</v>
      </c>
      <c r="K206" s="2">
        <v>37.210323000000002</v>
      </c>
      <c r="L206">
        <v>-7.4070260000000001</v>
      </c>
    </row>
    <row r="207" spans="1:12" ht="34.200000000000003" customHeight="1" thickBot="1" x14ac:dyDescent="0.35">
      <c r="A207" s="1">
        <v>2101003</v>
      </c>
      <c r="B207" s="2" t="s">
        <v>284</v>
      </c>
      <c r="C207" s="2">
        <v>3</v>
      </c>
      <c r="D207" s="2">
        <v>21400</v>
      </c>
      <c r="E207" s="9">
        <v>6198</v>
      </c>
      <c r="F207" s="9">
        <v>15750</v>
      </c>
      <c r="G207" s="3">
        <v>18.3</v>
      </c>
      <c r="H207" s="3">
        <v>17.3</v>
      </c>
      <c r="I207" s="3">
        <v>2.5</v>
      </c>
      <c r="J207" s="5">
        <f t="shared" si="3"/>
        <v>6371.2652845759776</v>
      </c>
      <c r="K207" s="2">
        <v>37.188305999999997</v>
      </c>
      <c r="L207">
        <v>-7.3701670000000004</v>
      </c>
    </row>
    <row r="208" spans="1:12" ht="34.200000000000003" customHeight="1" thickBot="1" x14ac:dyDescent="0.35">
      <c r="A208" s="1">
        <v>2101101</v>
      </c>
      <c r="B208" s="2" t="s">
        <v>285</v>
      </c>
      <c r="C208" s="2">
        <v>1</v>
      </c>
      <c r="D208" s="2">
        <v>21630</v>
      </c>
      <c r="E208" s="9">
        <v>4325</v>
      </c>
      <c r="F208" s="9">
        <v>15750</v>
      </c>
      <c r="G208" s="3">
        <v>16.7</v>
      </c>
      <c r="H208" s="3">
        <v>21.8</v>
      </c>
      <c r="I208" s="3">
        <v>2.4</v>
      </c>
      <c r="J208" s="5">
        <f t="shared" si="3"/>
        <v>4263.5312494975597</v>
      </c>
      <c r="K208" s="2">
        <v>37.396819000000001</v>
      </c>
      <c r="L208">
        <v>-6.7672639999999999</v>
      </c>
    </row>
    <row r="209" spans="1:12" ht="34.200000000000003" customHeight="1" thickBot="1" x14ac:dyDescent="0.35">
      <c r="A209" s="1">
        <v>2101201</v>
      </c>
      <c r="B209" s="2" t="s">
        <v>286</v>
      </c>
      <c r="C209" s="2">
        <v>1</v>
      </c>
      <c r="D209" s="2">
        <v>21647</v>
      </c>
      <c r="E209" s="9">
        <v>288</v>
      </c>
      <c r="F209" s="9">
        <v>20650</v>
      </c>
      <c r="G209" s="3">
        <v>6.3</v>
      </c>
      <c r="H209" s="3">
        <v>35.799999999999997</v>
      </c>
      <c r="I209" s="3">
        <v>2.1</v>
      </c>
      <c r="J209" s="5">
        <f t="shared" si="3"/>
        <v>295.62026526945465</v>
      </c>
      <c r="K209" s="2">
        <v>37.566187999999997</v>
      </c>
      <c r="L209">
        <v>-6.5086830000000004</v>
      </c>
    </row>
    <row r="210" spans="1:12" ht="34.200000000000003" customHeight="1" thickBot="1" x14ac:dyDescent="0.35">
      <c r="A210" s="1">
        <v>2101301</v>
      </c>
      <c r="B210" s="2" t="s">
        <v>287</v>
      </c>
      <c r="C210" s="2">
        <v>1</v>
      </c>
      <c r="D210" s="2">
        <v>21710</v>
      </c>
      <c r="E210" s="9">
        <v>3021</v>
      </c>
      <c r="F210" s="9">
        <v>15050</v>
      </c>
      <c r="G210" s="3">
        <v>18.100000000000001</v>
      </c>
      <c r="H210" s="3">
        <v>20.5</v>
      </c>
      <c r="I210" s="3">
        <v>2.7</v>
      </c>
      <c r="J210" s="5">
        <f t="shared" si="3"/>
        <v>2759.2900175882</v>
      </c>
      <c r="K210" s="2">
        <v>37.334288000000001</v>
      </c>
      <c r="L210">
        <v>-6.5378790000000002</v>
      </c>
    </row>
    <row r="211" spans="1:12" ht="34.200000000000003" customHeight="1" thickBot="1" x14ac:dyDescent="0.35">
      <c r="A211" s="1">
        <v>2101302</v>
      </c>
      <c r="B211" s="2" t="s">
        <v>287</v>
      </c>
      <c r="C211" s="2">
        <v>2</v>
      </c>
      <c r="D211" s="2">
        <v>21710</v>
      </c>
      <c r="E211" s="9">
        <v>3049</v>
      </c>
      <c r="F211" s="9">
        <v>14350</v>
      </c>
      <c r="G211" s="3">
        <v>16.899999999999999</v>
      </c>
      <c r="H211" s="3">
        <v>17.100000000000001</v>
      </c>
      <c r="I211" s="3">
        <v>2.8</v>
      </c>
      <c r="J211" s="5">
        <f t="shared" si="3"/>
        <v>2666.2633319625243</v>
      </c>
      <c r="K211" s="2">
        <v>37.337263999999998</v>
      </c>
      <c r="L211">
        <v>-6.5419130000000001</v>
      </c>
    </row>
    <row r="212" spans="1:12" ht="34.200000000000003" customHeight="1" thickBot="1" x14ac:dyDescent="0.35">
      <c r="A212" s="1">
        <v>2101303</v>
      </c>
      <c r="B212" s="2" t="s">
        <v>287</v>
      </c>
      <c r="C212" s="2">
        <v>3</v>
      </c>
      <c r="D212" s="2">
        <v>21710</v>
      </c>
      <c r="E212" s="9">
        <v>4143</v>
      </c>
      <c r="F212" s="9">
        <v>14350</v>
      </c>
      <c r="G212" s="3">
        <v>18.2</v>
      </c>
      <c r="H212" s="3">
        <v>15.8</v>
      </c>
      <c r="I212" s="3">
        <v>2.8</v>
      </c>
      <c r="J212" s="5">
        <f t="shared" si="3"/>
        <v>3717.3201371402811</v>
      </c>
      <c r="K212" s="2">
        <v>37.353323000000003</v>
      </c>
      <c r="L212">
        <v>-6.5604129999999996</v>
      </c>
    </row>
    <row r="213" spans="1:12" ht="34.200000000000003" customHeight="1" thickBot="1" x14ac:dyDescent="0.35">
      <c r="A213" s="1">
        <v>2101304</v>
      </c>
      <c r="B213" s="2" t="s">
        <v>287</v>
      </c>
      <c r="C213" s="2">
        <v>4</v>
      </c>
      <c r="D213" s="2">
        <v>21710</v>
      </c>
      <c r="E213" s="9">
        <v>2148</v>
      </c>
      <c r="F213" s="9">
        <v>16450</v>
      </c>
      <c r="G213" s="3">
        <v>18.3</v>
      </c>
      <c r="H213" s="3">
        <v>18.7</v>
      </c>
      <c r="I213" s="3">
        <v>2.7</v>
      </c>
      <c r="J213" s="5">
        <f t="shared" si="3"/>
        <v>2188.3653247603838</v>
      </c>
      <c r="K213" s="2">
        <v>37.340499000000001</v>
      </c>
      <c r="L213">
        <v>-6.536397</v>
      </c>
    </row>
    <row r="214" spans="1:12" ht="34.200000000000003" customHeight="1" thickBot="1" x14ac:dyDescent="0.35">
      <c r="A214" s="1">
        <v>2101305</v>
      </c>
      <c r="B214" s="2" t="s">
        <v>287</v>
      </c>
      <c r="C214" s="2">
        <v>5</v>
      </c>
      <c r="D214" s="2">
        <v>21710</v>
      </c>
      <c r="E214" s="9">
        <v>2036</v>
      </c>
      <c r="F214" s="9">
        <v>15750</v>
      </c>
      <c r="G214" s="3">
        <v>17.399999999999999</v>
      </c>
      <c r="H214" s="3">
        <v>19.3</v>
      </c>
      <c r="I214" s="3">
        <v>2.7</v>
      </c>
      <c r="J214" s="5">
        <f t="shared" si="3"/>
        <v>1956.0846546424807</v>
      </c>
      <c r="K214" s="2">
        <v>37.338250000000002</v>
      </c>
      <c r="L214">
        <v>-6.533995</v>
      </c>
    </row>
    <row r="215" spans="1:12" ht="34.200000000000003" customHeight="1" thickBot="1" x14ac:dyDescent="0.35">
      <c r="A215" s="1">
        <v>2101401</v>
      </c>
      <c r="B215" s="2" t="s">
        <v>288</v>
      </c>
      <c r="C215" s="2">
        <v>1</v>
      </c>
      <c r="D215" s="2">
        <v>21830</v>
      </c>
      <c r="E215" s="9">
        <v>5800</v>
      </c>
      <c r="F215" s="9">
        <v>15050</v>
      </c>
      <c r="G215" s="3">
        <v>17.8</v>
      </c>
      <c r="H215" s="3">
        <v>16.899999999999999</v>
      </c>
      <c r="I215" s="3">
        <v>2.8</v>
      </c>
      <c r="J215" s="5">
        <f t="shared" si="3"/>
        <v>5377.9756688490506</v>
      </c>
      <c r="K215" s="2">
        <v>37.329993999999999</v>
      </c>
      <c r="L215">
        <v>-6.6752779999999996</v>
      </c>
    </row>
    <row r="216" spans="1:12" ht="34.200000000000003" customHeight="1" thickBot="1" x14ac:dyDescent="0.35">
      <c r="A216" s="1">
        <v>2101501</v>
      </c>
      <c r="B216" s="2" t="s">
        <v>289</v>
      </c>
      <c r="C216" s="2">
        <v>1</v>
      </c>
      <c r="D216" s="2">
        <v>21580</v>
      </c>
      <c r="E216" s="9">
        <v>712</v>
      </c>
      <c r="F216" s="9">
        <v>15050</v>
      </c>
      <c r="G216" s="3">
        <v>9.4</v>
      </c>
      <c r="H216" s="3">
        <v>26.5</v>
      </c>
      <c r="I216" s="3">
        <v>2</v>
      </c>
      <c r="J216" s="5">
        <f t="shared" si="3"/>
        <v>641.79778702090732</v>
      </c>
      <c r="K216" s="2">
        <v>37.766768999999996</v>
      </c>
      <c r="L216">
        <v>-7.1070279999999997</v>
      </c>
    </row>
    <row r="217" spans="1:12" ht="34.200000000000003" customHeight="1" thickBot="1" x14ac:dyDescent="0.35">
      <c r="A217" s="1">
        <v>2101601</v>
      </c>
      <c r="B217" s="2" t="s">
        <v>290</v>
      </c>
      <c r="C217" s="2">
        <v>1</v>
      </c>
      <c r="D217" s="2">
        <v>21270</v>
      </c>
      <c r="E217" s="9">
        <v>1118</v>
      </c>
      <c r="F217" s="9">
        <v>14350</v>
      </c>
      <c r="G217" s="3">
        <v>13.1</v>
      </c>
      <c r="H217" s="3">
        <v>23.4</v>
      </c>
      <c r="I217" s="3">
        <v>2.2999999999999998</v>
      </c>
      <c r="J217" s="5">
        <f t="shared" si="3"/>
        <v>969.53706949729087</v>
      </c>
      <c r="K217" s="2">
        <v>37.959612999999997</v>
      </c>
      <c r="L217">
        <v>-6.3323850000000004</v>
      </c>
    </row>
    <row r="218" spans="1:12" ht="34.200000000000003" customHeight="1" thickBot="1" x14ac:dyDescent="0.35">
      <c r="A218" s="1">
        <v>2101701</v>
      </c>
      <c r="B218" s="2" t="s">
        <v>291</v>
      </c>
      <c r="C218" s="2">
        <v>1</v>
      </c>
      <c r="D218" s="2">
        <v>21300</v>
      </c>
      <c r="E218" s="9">
        <v>2757</v>
      </c>
      <c r="F218" s="9">
        <v>17150</v>
      </c>
      <c r="G218" s="3">
        <v>16.399999999999999</v>
      </c>
      <c r="H218" s="3">
        <v>23.3</v>
      </c>
      <c r="I218" s="3">
        <v>2.2999999999999998</v>
      </c>
      <c r="J218" s="5">
        <f t="shared" si="3"/>
        <v>2965.7110986000989</v>
      </c>
      <c r="K218" s="2">
        <v>37.656346999999997</v>
      </c>
      <c r="L218">
        <v>-6.8793519999999999</v>
      </c>
    </row>
    <row r="219" spans="1:12" ht="34.200000000000003" customHeight="1" thickBot="1" x14ac:dyDescent="0.35">
      <c r="A219" s="1">
        <v>2101702</v>
      </c>
      <c r="B219" s="2" t="s">
        <v>291</v>
      </c>
      <c r="C219" s="2">
        <v>2</v>
      </c>
      <c r="D219" s="2">
        <v>21300</v>
      </c>
      <c r="E219" s="9">
        <v>20</v>
      </c>
      <c r="F219" s="9">
        <v>17150</v>
      </c>
      <c r="G219" s="3">
        <v>16.399999999999999</v>
      </c>
      <c r="H219" s="3">
        <v>23.3</v>
      </c>
      <c r="I219" s="3">
        <v>2.2999999999999998</v>
      </c>
      <c r="J219" s="5">
        <f t="shared" si="3"/>
        <v>21.514044966268401</v>
      </c>
      <c r="K219" s="2">
        <v>37.640186</v>
      </c>
      <c r="L219">
        <v>-6.8828050000000003</v>
      </c>
    </row>
    <row r="220" spans="1:12" ht="34.200000000000003" customHeight="1" thickBot="1" x14ac:dyDescent="0.35">
      <c r="A220" s="1">
        <v>2101801</v>
      </c>
      <c r="B220" s="2" t="s">
        <v>611</v>
      </c>
      <c r="C220" s="2">
        <v>1</v>
      </c>
      <c r="D220" s="2">
        <v>21650</v>
      </c>
      <c r="E220" s="9">
        <v>1058</v>
      </c>
      <c r="F220" s="9">
        <v>17150</v>
      </c>
      <c r="G220" s="3">
        <v>13.7</v>
      </c>
      <c r="H220" s="3">
        <v>26</v>
      </c>
      <c r="I220" s="3">
        <v>2.2000000000000002</v>
      </c>
      <c r="J220" s="5">
        <f t="shared" si="3"/>
        <v>1096.1758605537316</v>
      </c>
      <c r="K220" s="2">
        <v>37.705731</v>
      </c>
      <c r="L220">
        <v>-6.6497789999999997</v>
      </c>
    </row>
    <row r="221" spans="1:12" ht="34.200000000000003" customHeight="1" thickBot="1" x14ac:dyDescent="0.35">
      <c r="A221" s="1">
        <v>2101802</v>
      </c>
      <c r="B221" s="2" t="s">
        <v>611</v>
      </c>
      <c r="C221" s="2">
        <v>2</v>
      </c>
      <c r="D221" s="2">
        <v>21650</v>
      </c>
      <c r="E221" s="9">
        <v>935</v>
      </c>
      <c r="F221" s="9">
        <v>17150</v>
      </c>
      <c r="G221" s="3">
        <v>15.1</v>
      </c>
      <c r="H221" s="3">
        <v>24.8</v>
      </c>
      <c r="I221" s="3">
        <v>2.2999999999999998</v>
      </c>
      <c r="J221" s="5">
        <f t="shared" si="3"/>
        <v>975.53253143100119</v>
      </c>
      <c r="K221" s="2">
        <v>37.700454999999998</v>
      </c>
      <c r="L221">
        <v>-6.6215229999999998</v>
      </c>
    </row>
    <row r="222" spans="1:12" ht="34.200000000000003" customHeight="1" thickBot="1" x14ac:dyDescent="0.35">
      <c r="A222" s="1">
        <v>2101901</v>
      </c>
      <c r="B222" s="2" t="s">
        <v>293</v>
      </c>
      <c r="C222" s="2">
        <v>1</v>
      </c>
      <c r="D222" s="2">
        <v>21668</v>
      </c>
      <c r="E222" s="9">
        <v>727</v>
      </c>
      <c r="F222" s="9">
        <v>15750</v>
      </c>
      <c r="G222" s="3">
        <v>14.9</v>
      </c>
      <c r="H222" s="3">
        <v>24.9</v>
      </c>
      <c r="I222" s="3">
        <v>2.2999999999999998</v>
      </c>
      <c r="J222" s="5">
        <f t="shared" si="3"/>
        <v>694.2817498896552</v>
      </c>
      <c r="K222" s="2">
        <v>37.770316000000001</v>
      </c>
      <c r="L222">
        <v>-6.5827869999999997</v>
      </c>
    </row>
    <row r="223" spans="1:12" ht="34.200000000000003" customHeight="1" thickBot="1" x14ac:dyDescent="0.35">
      <c r="A223" s="1">
        <v>2102001</v>
      </c>
      <c r="B223" s="2" t="s">
        <v>294</v>
      </c>
      <c r="C223" s="2">
        <v>1</v>
      </c>
      <c r="D223" s="2">
        <v>21388</v>
      </c>
      <c r="E223" s="9">
        <v>382</v>
      </c>
      <c r="F223" s="9">
        <v>13650</v>
      </c>
      <c r="G223" s="3">
        <v>11.5</v>
      </c>
      <c r="H223" s="3">
        <v>25.9</v>
      </c>
      <c r="I223" s="3">
        <v>2</v>
      </c>
      <c r="J223" s="5">
        <f t="shared" si="3"/>
        <v>322.47568215583641</v>
      </c>
      <c r="K223" s="2">
        <v>37.994014999999997</v>
      </c>
      <c r="L223">
        <v>-6.5007609999999998</v>
      </c>
    </row>
    <row r="224" spans="1:12" ht="34.200000000000003" customHeight="1" thickBot="1" x14ac:dyDescent="0.35">
      <c r="A224" s="1">
        <v>2102101</v>
      </c>
      <c r="B224" s="2" t="s">
        <v>295</v>
      </c>
      <c r="C224" s="2">
        <v>1</v>
      </c>
      <c r="D224" s="2">
        <v>21450</v>
      </c>
      <c r="E224" s="9">
        <v>9307</v>
      </c>
      <c r="F224" s="9">
        <v>13650</v>
      </c>
      <c r="G224" s="3">
        <v>20.5</v>
      </c>
      <c r="H224" s="3">
        <v>12.8</v>
      </c>
      <c r="I224" s="3">
        <v>2.9</v>
      </c>
      <c r="J224" s="5">
        <f t="shared" si="3"/>
        <v>8209.2079797356291</v>
      </c>
      <c r="K224" s="2">
        <v>37.280419000000002</v>
      </c>
      <c r="L224">
        <v>-7.1589790000000004</v>
      </c>
    </row>
    <row r="225" spans="1:12" ht="34.200000000000003" customHeight="1" thickBot="1" x14ac:dyDescent="0.35">
      <c r="A225" s="1">
        <v>2102102</v>
      </c>
      <c r="B225" s="2" t="s">
        <v>295</v>
      </c>
      <c r="C225" s="2">
        <v>2</v>
      </c>
      <c r="D225" s="2">
        <v>21450</v>
      </c>
      <c r="E225" s="9">
        <v>11844</v>
      </c>
      <c r="F225" s="9">
        <v>16450</v>
      </c>
      <c r="G225" s="3">
        <v>19.2</v>
      </c>
      <c r="H225" s="3">
        <v>13.6</v>
      </c>
      <c r="I225" s="3">
        <v>2.6</v>
      </c>
      <c r="J225" s="5">
        <f t="shared" si="3"/>
        <v>13037.182175723112</v>
      </c>
      <c r="K225" s="2">
        <v>37.279262000000003</v>
      </c>
      <c r="L225">
        <v>-7.1551200000000001</v>
      </c>
    </row>
    <row r="226" spans="1:12" ht="34.200000000000003" customHeight="1" thickBot="1" x14ac:dyDescent="0.35">
      <c r="A226" s="1">
        <v>2102201</v>
      </c>
      <c r="B226" s="2" t="s">
        <v>296</v>
      </c>
      <c r="C226" s="2">
        <v>1</v>
      </c>
      <c r="D226" s="2">
        <v>21290</v>
      </c>
      <c r="E226" s="9">
        <v>226</v>
      </c>
      <c r="F226" s="9">
        <v>16450</v>
      </c>
      <c r="G226" s="3">
        <v>6.2</v>
      </c>
      <c r="H226" s="3">
        <v>25.2</v>
      </c>
      <c r="I226" s="3">
        <v>2</v>
      </c>
      <c r="J226" s="5">
        <f t="shared" si="3"/>
        <v>217.56375782470556</v>
      </c>
      <c r="K226" s="2">
        <v>37.888108000000003</v>
      </c>
      <c r="L226">
        <v>-6.6871239999999998</v>
      </c>
    </row>
    <row r="227" spans="1:12" ht="34.200000000000003" customHeight="1" thickBot="1" x14ac:dyDescent="0.35">
      <c r="A227" s="1">
        <v>2102301</v>
      </c>
      <c r="B227" s="2" t="s">
        <v>612</v>
      </c>
      <c r="C227" s="2">
        <v>1</v>
      </c>
      <c r="D227" s="2">
        <v>21520</v>
      </c>
      <c r="E227" s="9">
        <v>2256</v>
      </c>
      <c r="F227" s="9">
        <v>15750</v>
      </c>
      <c r="G227" s="3">
        <v>13.8</v>
      </c>
      <c r="H227" s="3">
        <v>28.2</v>
      </c>
      <c r="I227" s="3">
        <v>2.2999999999999998</v>
      </c>
      <c r="J227" s="5">
        <f t="shared" si="3"/>
        <v>2049.1402741172387</v>
      </c>
      <c r="K227" s="2">
        <v>37.708162000000002</v>
      </c>
      <c r="L227">
        <v>-7.0148929999999998</v>
      </c>
    </row>
    <row r="228" spans="1:12" ht="34.200000000000003" customHeight="1" thickBot="1" x14ac:dyDescent="0.35">
      <c r="A228" s="1">
        <v>2103001</v>
      </c>
      <c r="B228" s="2" t="s">
        <v>304</v>
      </c>
      <c r="C228" s="2">
        <v>1</v>
      </c>
      <c r="D228" s="2">
        <v>21891</v>
      </c>
      <c r="E228" s="9">
        <v>2226</v>
      </c>
      <c r="F228" s="9">
        <v>15050</v>
      </c>
      <c r="G228" s="3">
        <v>17.600000000000001</v>
      </c>
      <c r="H228" s="3">
        <v>20.2</v>
      </c>
      <c r="I228" s="3">
        <v>2.8</v>
      </c>
      <c r="J228" s="5">
        <f t="shared" si="3"/>
        <v>1992.433293299559</v>
      </c>
      <c r="K228" s="2">
        <v>37.355144000000003</v>
      </c>
      <c r="L228">
        <v>-6.394692</v>
      </c>
    </row>
    <row r="229" spans="1:12" ht="34.200000000000003" customHeight="1" thickBot="1" x14ac:dyDescent="0.35">
      <c r="A229" s="1">
        <v>2102401</v>
      </c>
      <c r="B229" s="2" t="s">
        <v>298</v>
      </c>
      <c r="C229" s="2">
        <v>1</v>
      </c>
      <c r="D229" s="2">
        <v>21209</v>
      </c>
      <c r="E229" s="9">
        <v>561</v>
      </c>
      <c r="F229" s="9">
        <v>16450</v>
      </c>
      <c r="G229" s="3">
        <v>11.1</v>
      </c>
      <c r="H229" s="3">
        <v>24.2</v>
      </c>
      <c r="I229" s="3">
        <v>2.2000000000000002</v>
      </c>
      <c r="J229" s="5">
        <f t="shared" si="3"/>
        <v>552.43271376946257</v>
      </c>
      <c r="K229" s="2">
        <v>37.933067000000001</v>
      </c>
      <c r="L229">
        <v>-6.4939650000000002</v>
      </c>
    </row>
    <row r="230" spans="1:12" ht="34.200000000000003" customHeight="1" thickBot="1" x14ac:dyDescent="0.35">
      <c r="A230" s="1">
        <v>2102501</v>
      </c>
      <c r="B230" s="2" t="s">
        <v>299</v>
      </c>
      <c r="C230" s="2">
        <v>1</v>
      </c>
      <c r="D230" s="2">
        <v>21230</v>
      </c>
      <c r="E230" s="9">
        <v>3274</v>
      </c>
      <c r="F230" s="9">
        <v>15050</v>
      </c>
      <c r="G230" s="3">
        <v>16.5</v>
      </c>
      <c r="H230" s="3">
        <v>20.3</v>
      </c>
      <c r="I230" s="3">
        <v>2.4</v>
      </c>
      <c r="J230" s="5">
        <f t="shared" si="3"/>
        <v>3126.2723904340546</v>
      </c>
      <c r="K230" s="2">
        <v>37.909663999999999</v>
      </c>
      <c r="L230">
        <v>-6.816567</v>
      </c>
    </row>
    <row r="231" spans="1:12" ht="34.200000000000003" customHeight="1" thickBot="1" x14ac:dyDescent="0.35">
      <c r="A231" s="1">
        <v>2102502</v>
      </c>
      <c r="B231" s="2" t="s">
        <v>299</v>
      </c>
      <c r="C231" s="2">
        <v>2</v>
      </c>
      <c r="D231" s="2">
        <v>21230</v>
      </c>
      <c r="E231" s="9">
        <v>1329</v>
      </c>
      <c r="F231" s="9">
        <v>16450</v>
      </c>
      <c r="G231" s="3">
        <v>11.6</v>
      </c>
      <c r="H231" s="3">
        <v>27.7</v>
      </c>
      <c r="I231" s="3">
        <v>2.2000000000000002</v>
      </c>
      <c r="J231" s="5">
        <f t="shared" si="3"/>
        <v>1263.524573427522</v>
      </c>
      <c r="K231" s="2">
        <v>37.890385000000002</v>
      </c>
      <c r="L231">
        <v>-6.8668930000000001</v>
      </c>
    </row>
    <row r="232" spans="1:12" ht="34.200000000000003" customHeight="1" thickBot="1" x14ac:dyDescent="0.35">
      <c r="A232" s="1">
        <v>2102601</v>
      </c>
      <c r="B232" s="2" t="s">
        <v>300</v>
      </c>
      <c r="C232" s="2">
        <v>1</v>
      </c>
      <c r="D232" s="2">
        <v>21208</v>
      </c>
      <c r="E232" s="9">
        <v>313</v>
      </c>
      <c r="F232" s="9">
        <v>13650</v>
      </c>
      <c r="G232" s="3">
        <v>13.7</v>
      </c>
      <c r="H232" s="3">
        <v>23.6</v>
      </c>
      <c r="I232" s="3">
        <v>1.9</v>
      </c>
      <c r="J232" s="5">
        <f t="shared" si="3"/>
        <v>285.34296416501564</v>
      </c>
      <c r="K232" s="2">
        <v>37.958835999999998</v>
      </c>
      <c r="L232">
        <v>-6.6248870000000002</v>
      </c>
    </row>
    <row r="233" spans="1:12" ht="34.200000000000003" customHeight="1" thickBot="1" x14ac:dyDescent="0.35">
      <c r="A233" s="1">
        <v>2102701</v>
      </c>
      <c r="B233" s="2" t="s">
        <v>301</v>
      </c>
      <c r="C233" s="2">
        <v>1</v>
      </c>
      <c r="D233" s="2">
        <v>21387</v>
      </c>
      <c r="E233" s="9">
        <v>61</v>
      </c>
      <c r="F233" s="9">
        <v>15050</v>
      </c>
      <c r="G233" s="3">
        <v>9.8000000000000007</v>
      </c>
      <c r="H233" s="3">
        <v>24.6</v>
      </c>
      <c r="I233" s="3">
        <v>1.8</v>
      </c>
      <c r="J233" s="5">
        <f t="shared" si="3"/>
        <v>59.567841891346582</v>
      </c>
      <c r="K233" s="2">
        <v>38.075150000000001</v>
      </c>
      <c r="L233">
        <v>-6.6967439999999998</v>
      </c>
    </row>
    <row r="234" spans="1:12" ht="34.200000000000003" customHeight="1" thickBot="1" x14ac:dyDescent="0.35">
      <c r="A234" s="1">
        <v>2102801</v>
      </c>
      <c r="B234" s="2" t="s">
        <v>302</v>
      </c>
      <c r="C234" s="2">
        <v>1</v>
      </c>
      <c r="D234" s="2">
        <v>21386</v>
      </c>
      <c r="E234" s="9">
        <v>359</v>
      </c>
      <c r="F234" s="9">
        <v>15050</v>
      </c>
      <c r="G234" s="3">
        <v>5</v>
      </c>
      <c r="H234" s="3">
        <v>34</v>
      </c>
      <c r="I234" s="3">
        <v>1.9</v>
      </c>
      <c r="J234" s="5">
        <f t="shared" si="3"/>
        <v>284.35095143812669</v>
      </c>
      <c r="K234" s="2">
        <v>38.058194</v>
      </c>
      <c r="L234">
        <v>-6.798241</v>
      </c>
    </row>
    <row r="235" spans="1:12" ht="34.200000000000003" customHeight="1" thickBot="1" x14ac:dyDescent="0.35">
      <c r="A235" s="1">
        <v>2102901</v>
      </c>
      <c r="B235" s="2" t="s">
        <v>303</v>
      </c>
      <c r="C235" s="2">
        <v>1</v>
      </c>
      <c r="D235" s="2">
        <v>21380</v>
      </c>
      <c r="E235" s="9">
        <v>979</v>
      </c>
      <c r="F235" s="9">
        <v>14350</v>
      </c>
      <c r="G235" s="3">
        <v>13.8</v>
      </c>
      <c r="H235" s="3">
        <v>23.8</v>
      </c>
      <c r="I235" s="3">
        <v>2.2000000000000002</v>
      </c>
      <c r="J235" s="5">
        <f t="shared" si="3"/>
        <v>870.97953535623583</v>
      </c>
      <c r="K235" s="2">
        <v>38.028512999999997</v>
      </c>
      <c r="L235">
        <v>-6.6644769999999998</v>
      </c>
    </row>
    <row r="236" spans="1:12" ht="34.200000000000003" customHeight="1" thickBot="1" x14ac:dyDescent="0.35">
      <c r="A236" s="1">
        <v>2102902</v>
      </c>
      <c r="B236" s="2" t="s">
        <v>303</v>
      </c>
      <c r="C236" s="2">
        <v>2</v>
      </c>
      <c r="D236" s="2">
        <v>21380</v>
      </c>
      <c r="E236" s="9">
        <v>728</v>
      </c>
      <c r="F236" s="9">
        <v>15050</v>
      </c>
      <c r="G236" s="3">
        <v>14.3</v>
      </c>
      <c r="H236" s="3">
        <v>25.6</v>
      </c>
      <c r="I236" s="3">
        <v>2.2000000000000002</v>
      </c>
      <c r="J236" s="5">
        <f t="shared" si="3"/>
        <v>669.45647689390921</v>
      </c>
      <c r="K236" s="2">
        <v>38.070723999999998</v>
      </c>
      <c r="L236">
        <v>-6.6228449999999999</v>
      </c>
    </row>
    <row r="237" spans="1:12" ht="34.200000000000003" customHeight="1" thickBot="1" x14ac:dyDescent="0.35">
      <c r="A237" s="1">
        <v>2103101</v>
      </c>
      <c r="B237" s="2" t="s">
        <v>305</v>
      </c>
      <c r="C237" s="2">
        <v>1</v>
      </c>
      <c r="D237" s="2">
        <v>21390</v>
      </c>
      <c r="E237" s="9">
        <v>1294</v>
      </c>
      <c r="F237" s="9">
        <v>14350</v>
      </c>
      <c r="G237" s="3">
        <v>10.5</v>
      </c>
      <c r="H237" s="3">
        <v>29.4</v>
      </c>
      <c r="I237" s="3">
        <v>2</v>
      </c>
      <c r="J237" s="5">
        <f t="shared" si="3"/>
        <v>1088.0133463728312</v>
      </c>
      <c r="K237" s="2">
        <v>38.127915999999999</v>
      </c>
      <c r="L237">
        <v>-6.8968449999999999</v>
      </c>
    </row>
    <row r="238" spans="1:12" ht="34.200000000000003" customHeight="1" thickBot="1" x14ac:dyDescent="0.35">
      <c r="A238" s="1">
        <v>2103201</v>
      </c>
      <c r="B238" s="2" t="s">
        <v>306</v>
      </c>
      <c r="C238" s="2">
        <v>1</v>
      </c>
      <c r="D238" s="2">
        <v>21870</v>
      </c>
      <c r="E238" s="9">
        <v>2315</v>
      </c>
      <c r="F238" s="9">
        <v>15050</v>
      </c>
      <c r="G238" s="3">
        <v>19.5</v>
      </c>
      <c r="H238" s="3">
        <v>18.899999999999999</v>
      </c>
      <c r="I238" s="3">
        <v>2.7</v>
      </c>
      <c r="J238" s="5">
        <f t="shared" si="3"/>
        <v>2179.4443435097019</v>
      </c>
      <c r="K238" s="2">
        <v>37.499749000000001</v>
      </c>
      <c r="L238">
        <v>-6.3906840000000003</v>
      </c>
    </row>
    <row r="239" spans="1:12" ht="34.200000000000003" customHeight="1" thickBot="1" x14ac:dyDescent="0.35">
      <c r="A239" s="1">
        <v>2103301</v>
      </c>
      <c r="B239" s="2" t="s">
        <v>307</v>
      </c>
      <c r="C239" s="2">
        <v>1</v>
      </c>
      <c r="D239" s="2">
        <v>21292</v>
      </c>
      <c r="E239" s="9">
        <v>799</v>
      </c>
      <c r="F239" s="9">
        <v>14000</v>
      </c>
      <c r="G239" s="3">
        <v>18.8</v>
      </c>
      <c r="H239" s="3">
        <v>17.5</v>
      </c>
      <c r="I239" s="3">
        <v>2.2999999999999998</v>
      </c>
      <c r="J239" s="5">
        <f t="shared" si="3"/>
        <v>763.41823858975783</v>
      </c>
      <c r="K239" s="2">
        <v>37.907950999999997</v>
      </c>
      <c r="L239">
        <v>-6.6603149999999998</v>
      </c>
    </row>
    <row r="240" spans="1:12" ht="34.200000000000003" customHeight="1" thickBot="1" x14ac:dyDescent="0.35">
      <c r="A240" s="1">
        <v>2103401</v>
      </c>
      <c r="B240" s="2" t="s">
        <v>308</v>
      </c>
      <c r="C240" s="2">
        <v>1</v>
      </c>
      <c r="D240" s="2">
        <v>21291</v>
      </c>
      <c r="E240" s="9">
        <v>1376</v>
      </c>
      <c r="F240" s="9">
        <v>14350</v>
      </c>
      <c r="G240" s="3">
        <v>14.2</v>
      </c>
      <c r="H240" s="3">
        <v>23.8</v>
      </c>
      <c r="I240" s="3">
        <v>2.2000000000000002</v>
      </c>
      <c r="J240" s="5">
        <f t="shared" si="3"/>
        <v>1229.6163068298299</v>
      </c>
      <c r="K240" s="2">
        <v>37.927377999999997</v>
      </c>
      <c r="L240">
        <v>-6.6918300000000004</v>
      </c>
    </row>
    <row r="241" spans="1:12" ht="34.200000000000003" customHeight="1" thickBot="1" x14ac:dyDescent="0.35">
      <c r="A241" s="1">
        <v>2103501</v>
      </c>
      <c r="B241" s="2" t="s">
        <v>309</v>
      </c>
      <c r="C241" s="2">
        <v>1</v>
      </c>
      <c r="D241" s="2">
        <v>21500</v>
      </c>
      <c r="E241" s="9">
        <v>5936</v>
      </c>
      <c r="F241" s="9">
        <v>15050</v>
      </c>
      <c r="G241" s="3">
        <v>18.3</v>
      </c>
      <c r="H241" s="3">
        <v>17.600000000000001</v>
      </c>
      <c r="I241" s="3">
        <v>2.6</v>
      </c>
      <c r="J241" s="5">
        <f t="shared" si="3"/>
        <v>5700.5318664466986</v>
      </c>
      <c r="K241" s="2">
        <v>37.400512999999997</v>
      </c>
      <c r="L241">
        <v>-6.9110950000000004</v>
      </c>
    </row>
    <row r="242" spans="1:12" ht="34.200000000000003" customHeight="1" thickBot="1" x14ac:dyDescent="0.35">
      <c r="A242" s="1">
        <v>2103502</v>
      </c>
      <c r="B242" s="2" t="s">
        <v>309</v>
      </c>
      <c r="C242" s="2">
        <v>2</v>
      </c>
      <c r="D242" s="2">
        <v>21500</v>
      </c>
      <c r="E242" s="9">
        <v>7034</v>
      </c>
      <c r="F242" s="9">
        <v>15050</v>
      </c>
      <c r="G242" s="3">
        <v>18.5</v>
      </c>
      <c r="H242" s="3">
        <v>16.399999999999999</v>
      </c>
      <c r="I242" s="3">
        <v>2.6</v>
      </c>
      <c r="J242" s="5">
        <f t="shared" si="3"/>
        <v>6848.8888951039471</v>
      </c>
      <c r="K242" s="2">
        <v>37.376958999999999</v>
      </c>
      <c r="L242">
        <v>-6.9675200000000004</v>
      </c>
    </row>
    <row r="243" spans="1:12" ht="34.200000000000003" customHeight="1" thickBot="1" x14ac:dyDescent="0.35">
      <c r="A243" s="1">
        <v>2103601</v>
      </c>
      <c r="B243" s="2" t="s">
        <v>613</v>
      </c>
      <c r="C243" s="2">
        <v>1</v>
      </c>
      <c r="D243" s="2">
        <v>21668</v>
      </c>
      <c r="E243" s="9">
        <v>244</v>
      </c>
      <c r="F243" s="9">
        <v>15050</v>
      </c>
      <c r="G243" s="3">
        <v>14.3</v>
      </c>
      <c r="H243" s="3">
        <v>23.8</v>
      </c>
      <c r="I243" s="3">
        <v>2.2000000000000002</v>
      </c>
      <c r="J243" s="5">
        <f t="shared" si="3"/>
        <v>228.93160552875014</v>
      </c>
      <c r="K243" s="2">
        <v>37.771979000000002</v>
      </c>
      <c r="L243">
        <v>-6.5088369999999998</v>
      </c>
    </row>
    <row r="244" spans="1:12" ht="34.200000000000003" customHeight="1" thickBot="1" x14ac:dyDescent="0.35">
      <c r="A244" s="1">
        <v>2103701</v>
      </c>
      <c r="B244" s="2" t="s">
        <v>614</v>
      </c>
      <c r="C244" s="2">
        <v>1</v>
      </c>
      <c r="D244" s="2">
        <v>21594</v>
      </c>
      <c r="E244" s="9">
        <v>494</v>
      </c>
      <c r="F244" s="9">
        <v>17150</v>
      </c>
      <c r="G244" s="3">
        <v>9.6999999999999993</v>
      </c>
      <c r="H244" s="3">
        <v>30.4</v>
      </c>
      <c r="I244" s="3">
        <v>2.1</v>
      </c>
      <c r="J244" s="5">
        <f t="shared" si="3"/>
        <v>473.69282030944458</v>
      </c>
      <c r="K244" s="2">
        <v>37.518146999999999</v>
      </c>
      <c r="L244">
        <v>-7.4294549999999999</v>
      </c>
    </row>
    <row r="245" spans="1:12" ht="34.200000000000003" customHeight="1" thickBot="1" x14ac:dyDescent="0.35">
      <c r="A245" s="1">
        <v>2103801</v>
      </c>
      <c r="B245" s="2" t="s">
        <v>312</v>
      </c>
      <c r="C245" s="2">
        <v>1</v>
      </c>
      <c r="D245" s="2">
        <v>21220</v>
      </c>
      <c r="E245" s="9">
        <v>1271</v>
      </c>
      <c r="F245" s="9">
        <v>14350</v>
      </c>
      <c r="G245" s="3">
        <v>14.5</v>
      </c>
      <c r="H245" s="3">
        <v>24.2</v>
      </c>
      <c r="I245" s="3">
        <v>2.2999999999999998</v>
      </c>
      <c r="J245" s="5">
        <f t="shared" si="3"/>
        <v>1109.5923986773089</v>
      </c>
      <c r="K245" s="2">
        <v>37.833531000000001</v>
      </c>
      <c r="L245">
        <v>-6.4446370000000002</v>
      </c>
    </row>
    <row r="246" spans="1:12" ht="34.200000000000003" customHeight="1" thickBot="1" x14ac:dyDescent="0.35">
      <c r="A246" s="1">
        <v>2103901</v>
      </c>
      <c r="B246" s="2" t="s">
        <v>313</v>
      </c>
      <c r="C246" s="2">
        <v>1</v>
      </c>
      <c r="D246" s="2">
        <v>21388</v>
      </c>
      <c r="E246" s="9">
        <v>326</v>
      </c>
      <c r="F246" s="9">
        <v>13650</v>
      </c>
      <c r="G246" s="3">
        <v>13.5</v>
      </c>
      <c r="H246" s="3">
        <v>27</v>
      </c>
      <c r="I246" s="3">
        <v>2.2000000000000002</v>
      </c>
      <c r="J246" s="5">
        <f t="shared" si="3"/>
        <v>265.15340435954761</v>
      </c>
      <c r="K246" s="2">
        <v>38.001134</v>
      </c>
      <c r="L246">
        <v>-6.5723000000000003</v>
      </c>
    </row>
    <row r="247" spans="1:12" ht="34.200000000000003" customHeight="1" thickBot="1" x14ac:dyDescent="0.35">
      <c r="A247" s="1">
        <v>2104001</v>
      </c>
      <c r="B247" s="2" t="s">
        <v>314</v>
      </c>
      <c r="C247" s="2">
        <v>1</v>
      </c>
      <c r="D247" s="2">
        <v>21740</v>
      </c>
      <c r="E247" s="9">
        <v>1847</v>
      </c>
      <c r="F247" s="9">
        <v>15050</v>
      </c>
      <c r="G247" s="3">
        <v>17.3</v>
      </c>
      <c r="H247" s="3">
        <v>21.2</v>
      </c>
      <c r="I247" s="3">
        <v>2.5</v>
      </c>
      <c r="J247" s="5">
        <f t="shared" si="3"/>
        <v>1726.2312233863106</v>
      </c>
      <c r="K247" s="2">
        <v>37.311461000000001</v>
      </c>
      <c r="L247">
        <v>-6.4062049999999999</v>
      </c>
    </row>
    <row r="248" spans="1:12" ht="34.200000000000003" customHeight="1" thickBot="1" x14ac:dyDescent="0.35">
      <c r="A248" s="1">
        <v>2104002</v>
      </c>
      <c r="B248" s="2" t="s">
        <v>314</v>
      </c>
      <c r="C248" s="2">
        <v>2</v>
      </c>
      <c r="D248" s="2">
        <v>21740</v>
      </c>
      <c r="E248" s="9">
        <v>2199</v>
      </c>
      <c r="F248" s="9">
        <v>16450</v>
      </c>
      <c r="G248" s="3">
        <v>17</v>
      </c>
      <c r="H248" s="3">
        <v>21.6</v>
      </c>
      <c r="I248" s="3">
        <v>2.2999999999999998</v>
      </c>
      <c r="J248" s="5">
        <f t="shared" si="3"/>
        <v>2324.9722695438263</v>
      </c>
      <c r="K248" s="2">
        <v>37.130965000000003</v>
      </c>
      <c r="L248">
        <v>-6.3998619999999997</v>
      </c>
    </row>
    <row r="249" spans="1:12" ht="34.200000000000003" customHeight="1" thickBot="1" x14ac:dyDescent="0.35">
      <c r="A249" s="1">
        <v>2104101</v>
      </c>
      <c r="B249" s="2" t="s">
        <v>315</v>
      </c>
      <c r="C249" s="2">
        <v>1</v>
      </c>
      <c r="D249" s="2">
        <v>21001</v>
      </c>
      <c r="E249" s="9">
        <v>19128</v>
      </c>
      <c r="F249" s="9">
        <v>24150</v>
      </c>
      <c r="G249" s="3">
        <v>14.9</v>
      </c>
      <c r="H249" s="3">
        <v>25.4</v>
      </c>
      <c r="I249" s="3">
        <v>2.4</v>
      </c>
      <c r="J249" s="5">
        <f t="shared" si="3"/>
        <v>27267.561519837964</v>
      </c>
      <c r="K249" s="2">
        <v>37.257620000000003</v>
      </c>
      <c r="L249">
        <v>-6.9550130000000001</v>
      </c>
    </row>
    <row r="250" spans="1:12" ht="34.200000000000003" customHeight="1" thickBot="1" x14ac:dyDescent="0.35">
      <c r="A250" s="1">
        <v>2104102</v>
      </c>
      <c r="B250" s="2" t="s">
        <v>315</v>
      </c>
      <c r="C250" s="2">
        <v>2</v>
      </c>
      <c r="D250" s="2">
        <v>21002</v>
      </c>
      <c r="E250" s="9">
        <v>15994</v>
      </c>
      <c r="F250" s="9">
        <v>16450</v>
      </c>
      <c r="G250" s="3">
        <v>16.600000000000001</v>
      </c>
      <c r="H250" s="3">
        <v>17</v>
      </c>
      <c r="I250" s="3">
        <v>2.6</v>
      </c>
      <c r="J250" s="5">
        <f t="shared" si="3"/>
        <v>16604.960521473069</v>
      </c>
      <c r="K250" s="2">
        <v>37.265298000000001</v>
      </c>
      <c r="L250">
        <v>-6.9607070000000002</v>
      </c>
    </row>
    <row r="251" spans="1:12" ht="34.200000000000003" customHeight="1" thickBot="1" x14ac:dyDescent="0.35">
      <c r="A251" s="1">
        <v>2104103</v>
      </c>
      <c r="B251" s="2" t="s">
        <v>315</v>
      </c>
      <c r="C251" s="2">
        <v>3</v>
      </c>
      <c r="D251" s="2">
        <v>21003</v>
      </c>
      <c r="E251" s="9">
        <v>13251</v>
      </c>
      <c r="F251" s="9">
        <v>21350</v>
      </c>
      <c r="G251" s="3">
        <v>17.7</v>
      </c>
      <c r="H251" s="3">
        <v>19.2</v>
      </c>
      <c r="I251" s="3">
        <v>2.5</v>
      </c>
      <c r="J251" s="5">
        <f t="shared" si="3"/>
        <v>18007.563234100784</v>
      </c>
      <c r="K251" s="2">
        <v>37.253794999999997</v>
      </c>
      <c r="L251">
        <v>-6.9565950000000001</v>
      </c>
    </row>
    <row r="252" spans="1:12" ht="34.200000000000003" customHeight="1" thickBot="1" x14ac:dyDescent="0.35">
      <c r="A252" s="1">
        <v>2104104</v>
      </c>
      <c r="B252" s="2" t="s">
        <v>315</v>
      </c>
      <c r="C252" s="2">
        <v>4</v>
      </c>
      <c r="D252" s="2">
        <v>21004</v>
      </c>
      <c r="E252" s="9">
        <v>16161</v>
      </c>
      <c r="F252" s="9">
        <v>19250</v>
      </c>
      <c r="G252" s="3">
        <v>15.7</v>
      </c>
      <c r="H252" s="3">
        <v>23.7</v>
      </c>
      <c r="I252" s="3">
        <v>2.4</v>
      </c>
      <c r="J252" s="5">
        <f t="shared" si="3"/>
        <v>18876.582026419353</v>
      </c>
      <c r="K252" s="2">
        <v>37.261580000000002</v>
      </c>
      <c r="L252">
        <v>-6.9371429999999998</v>
      </c>
    </row>
    <row r="253" spans="1:12" ht="34.200000000000003" customHeight="1" thickBot="1" x14ac:dyDescent="0.35">
      <c r="A253" s="1">
        <v>2104105</v>
      </c>
      <c r="B253" s="2" t="s">
        <v>315</v>
      </c>
      <c r="C253" s="2">
        <v>5</v>
      </c>
      <c r="D253" s="2">
        <v>21005</v>
      </c>
      <c r="E253" s="9">
        <v>18071</v>
      </c>
      <c r="F253" s="9">
        <v>16450</v>
      </c>
      <c r="G253" s="3">
        <v>17.8</v>
      </c>
      <c r="H253" s="3">
        <v>19.600000000000001</v>
      </c>
      <c r="I253" s="3">
        <v>2.5</v>
      </c>
      <c r="J253" s="5">
        <f t="shared" si="3"/>
        <v>18863.911950133319</v>
      </c>
      <c r="K253" s="2">
        <v>37.263331000000001</v>
      </c>
      <c r="L253">
        <v>-6.9345249999999998</v>
      </c>
    </row>
    <row r="254" spans="1:12" ht="34.200000000000003" customHeight="1" thickBot="1" x14ac:dyDescent="0.35">
      <c r="A254" s="1">
        <v>2104106</v>
      </c>
      <c r="B254" s="2" t="s">
        <v>315</v>
      </c>
      <c r="C254" s="2">
        <v>6</v>
      </c>
      <c r="D254" s="2">
        <v>21006</v>
      </c>
      <c r="E254" s="9">
        <v>10167</v>
      </c>
      <c r="F254" s="9">
        <v>15750</v>
      </c>
      <c r="G254" s="3">
        <v>15.2</v>
      </c>
      <c r="H254" s="3">
        <v>19.2</v>
      </c>
      <c r="I254" s="3">
        <v>2.6</v>
      </c>
      <c r="J254" s="5">
        <f t="shared" si="3"/>
        <v>9740.9234345752648</v>
      </c>
      <c r="K254" s="2">
        <v>37.262898</v>
      </c>
      <c r="L254">
        <v>-6.928382</v>
      </c>
    </row>
    <row r="255" spans="1:12" ht="34.200000000000003" customHeight="1" thickBot="1" x14ac:dyDescent="0.35">
      <c r="A255" s="1">
        <v>2104107</v>
      </c>
      <c r="B255" s="2" t="s">
        <v>315</v>
      </c>
      <c r="C255" s="2">
        <v>7</v>
      </c>
      <c r="D255" s="2">
        <v>21007</v>
      </c>
      <c r="E255" s="9">
        <v>30408</v>
      </c>
      <c r="F255" s="9">
        <v>15750</v>
      </c>
      <c r="G255" s="3">
        <v>19.899999999999999</v>
      </c>
      <c r="H255" s="3">
        <v>16.5</v>
      </c>
      <c r="I255" s="3">
        <v>2.6</v>
      </c>
      <c r="J255" s="5">
        <f t="shared" si="3"/>
        <v>31379.387949546315</v>
      </c>
      <c r="K255" s="2">
        <v>37.266328000000001</v>
      </c>
      <c r="L255">
        <v>-6.9403569999999997</v>
      </c>
    </row>
    <row r="256" spans="1:12" ht="34.200000000000003" customHeight="1" thickBot="1" x14ac:dyDescent="0.35">
      <c r="A256" s="1">
        <v>2104108</v>
      </c>
      <c r="B256" s="2" t="s">
        <v>315</v>
      </c>
      <c r="C256" s="2">
        <v>8</v>
      </c>
      <c r="D256" s="2">
        <v>21007</v>
      </c>
      <c r="E256" s="9">
        <v>19257</v>
      </c>
      <c r="F256" s="9">
        <v>13650</v>
      </c>
      <c r="G256" s="3">
        <v>17.399999999999999</v>
      </c>
      <c r="H256" s="3">
        <v>21.4</v>
      </c>
      <c r="I256" s="3">
        <v>2.6</v>
      </c>
      <c r="J256" s="5">
        <f t="shared" si="3"/>
        <v>15989.984023704183</v>
      </c>
      <c r="K256" s="2">
        <v>37.297756999999997</v>
      </c>
      <c r="L256">
        <v>-6.960331</v>
      </c>
    </row>
    <row r="257" spans="1:12" ht="34.200000000000003" customHeight="1" thickBot="1" x14ac:dyDescent="0.35">
      <c r="A257" s="1">
        <v>2104201</v>
      </c>
      <c r="B257" s="2" t="s">
        <v>316</v>
      </c>
      <c r="C257" s="2">
        <v>1</v>
      </c>
      <c r="D257" s="2">
        <v>21410</v>
      </c>
      <c r="E257" s="9">
        <v>2114</v>
      </c>
      <c r="F257" s="9">
        <v>13650</v>
      </c>
      <c r="G257" s="3">
        <v>19.399999999999999</v>
      </c>
      <c r="H257" s="3">
        <v>16.3</v>
      </c>
      <c r="I257" s="3">
        <v>2.6</v>
      </c>
      <c r="J257" s="5">
        <f t="shared" si="3"/>
        <v>1885.1756200732241</v>
      </c>
      <c r="K257" s="2">
        <v>37.233561000000002</v>
      </c>
      <c r="L257">
        <v>-7.3003280000000004</v>
      </c>
    </row>
    <row r="258" spans="1:12" ht="34.200000000000003" customHeight="1" thickBot="1" x14ac:dyDescent="0.35">
      <c r="A258" s="1">
        <v>2104202</v>
      </c>
      <c r="B258" s="2" t="s">
        <v>316</v>
      </c>
      <c r="C258" s="2">
        <v>2</v>
      </c>
      <c r="D258" s="2">
        <v>21410</v>
      </c>
      <c r="E258" s="9">
        <v>8007</v>
      </c>
      <c r="F258" s="9">
        <v>14350</v>
      </c>
      <c r="G258" s="3">
        <v>17</v>
      </c>
      <c r="H258" s="3">
        <v>18</v>
      </c>
      <c r="I258" s="3">
        <v>2.6</v>
      </c>
      <c r="J258" s="5">
        <f t="shared" si="3"/>
        <v>7207.9611830822168</v>
      </c>
      <c r="K258" s="2">
        <v>37.200676999999999</v>
      </c>
      <c r="L258">
        <v>-7.3224450000000001</v>
      </c>
    </row>
    <row r="259" spans="1:12" ht="34.200000000000003" customHeight="1" thickBot="1" x14ac:dyDescent="0.35">
      <c r="A259" s="1">
        <v>2104203</v>
      </c>
      <c r="B259" s="2" t="s">
        <v>316</v>
      </c>
      <c r="C259" s="2">
        <v>3</v>
      </c>
      <c r="D259" s="2">
        <v>21410</v>
      </c>
      <c r="E259" s="9">
        <v>9293</v>
      </c>
      <c r="F259" s="9">
        <v>13650</v>
      </c>
      <c r="G259" s="3">
        <v>18.5</v>
      </c>
      <c r="H259" s="3">
        <v>14.8</v>
      </c>
      <c r="I259" s="3">
        <v>2.6</v>
      </c>
      <c r="J259" s="5">
        <f t="shared" si="3"/>
        <v>8335.3311798403101</v>
      </c>
      <c r="K259" s="2">
        <v>37.203294999999997</v>
      </c>
      <c r="L259">
        <v>-7.3177190000000003</v>
      </c>
    </row>
    <row r="260" spans="1:12" ht="34.200000000000003" customHeight="1" thickBot="1" x14ac:dyDescent="0.35">
      <c r="A260" s="1">
        <v>2104204</v>
      </c>
      <c r="B260" s="2" t="s">
        <v>316</v>
      </c>
      <c r="C260" s="2">
        <v>4</v>
      </c>
      <c r="D260" s="2">
        <v>21410</v>
      </c>
      <c r="E260" s="9">
        <v>1871</v>
      </c>
      <c r="F260" s="9">
        <v>15050</v>
      </c>
      <c r="G260" s="3">
        <v>17.7</v>
      </c>
      <c r="H260" s="3">
        <v>14.9</v>
      </c>
      <c r="I260" s="3">
        <v>2.6</v>
      </c>
      <c r="J260" s="5">
        <f t="shared" si="3"/>
        <v>1834.2516444091464</v>
      </c>
      <c r="K260" s="2">
        <v>37.226143999999998</v>
      </c>
      <c r="L260">
        <v>-7.2589769999999998</v>
      </c>
    </row>
    <row r="261" spans="1:12" ht="34.200000000000003" customHeight="1" thickBot="1" x14ac:dyDescent="0.35">
      <c r="A261" s="1">
        <v>2104301</v>
      </c>
      <c r="B261" s="2" t="s">
        <v>317</v>
      </c>
      <c r="C261" s="2">
        <v>1</v>
      </c>
      <c r="D261" s="2">
        <v>21290</v>
      </c>
      <c r="E261" s="9">
        <v>2199</v>
      </c>
      <c r="F261" s="9">
        <v>17150</v>
      </c>
      <c r="G261" s="3">
        <v>15.6</v>
      </c>
      <c r="H261" s="3">
        <v>20.2</v>
      </c>
      <c r="I261" s="3">
        <v>2.5</v>
      </c>
      <c r="J261" s="5">
        <f t="shared" si="3"/>
        <v>2324.9301691668243</v>
      </c>
      <c r="K261" s="2">
        <v>37.910361000000002</v>
      </c>
      <c r="L261">
        <v>-6.730607</v>
      </c>
    </row>
    <row r="262" spans="1:12" ht="34.200000000000003" customHeight="1" thickBot="1" x14ac:dyDescent="0.35">
      <c r="A262" s="1">
        <v>2104401</v>
      </c>
      <c r="B262" s="2" t="s">
        <v>318</v>
      </c>
      <c r="C262" s="2">
        <v>1</v>
      </c>
      <c r="D262" s="2">
        <v>21440</v>
      </c>
      <c r="E262" s="9">
        <v>12047</v>
      </c>
      <c r="F262" s="9">
        <v>15050</v>
      </c>
      <c r="G262" s="3">
        <v>18.7</v>
      </c>
      <c r="H262" s="3">
        <v>13.8</v>
      </c>
      <c r="I262" s="3">
        <v>2.8</v>
      </c>
      <c r="J262" s="5">
        <f t="shared" si="3"/>
        <v>11613.25792930404</v>
      </c>
      <c r="K262" s="2">
        <v>37.255257</v>
      </c>
      <c r="L262">
        <v>-7.2080359999999999</v>
      </c>
    </row>
    <row r="263" spans="1:12" ht="34.200000000000003" customHeight="1" thickBot="1" x14ac:dyDescent="0.35">
      <c r="A263" s="1">
        <v>2104402</v>
      </c>
      <c r="B263" s="2" t="s">
        <v>318</v>
      </c>
      <c r="C263" s="2">
        <v>2</v>
      </c>
      <c r="D263" s="2">
        <v>21440</v>
      </c>
      <c r="E263" s="9">
        <v>8353</v>
      </c>
      <c r="F263" s="9">
        <v>14350</v>
      </c>
      <c r="G263" s="3">
        <v>20.5</v>
      </c>
      <c r="H263" s="3">
        <v>12.3</v>
      </c>
      <c r="I263" s="3">
        <v>2.8</v>
      </c>
      <c r="J263" s="5">
        <f t="shared" si="3"/>
        <v>7919.2639184756426</v>
      </c>
      <c r="K263" s="2">
        <v>37.243968000000002</v>
      </c>
      <c r="L263">
        <v>-7.2304240000000002</v>
      </c>
    </row>
    <row r="264" spans="1:12" ht="34.200000000000003" customHeight="1" thickBot="1" x14ac:dyDescent="0.35">
      <c r="A264" s="1">
        <v>2104403</v>
      </c>
      <c r="B264" s="2" t="s">
        <v>318</v>
      </c>
      <c r="C264" s="2">
        <v>3</v>
      </c>
      <c r="D264" s="2">
        <v>21449</v>
      </c>
      <c r="E264" s="9">
        <v>8335</v>
      </c>
      <c r="F264" s="9">
        <v>15050</v>
      </c>
      <c r="G264" s="3">
        <v>19.7</v>
      </c>
      <c r="H264" s="3">
        <v>11.8</v>
      </c>
      <c r="I264" s="3">
        <v>2.5</v>
      </c>
      <c r="J264" s="5">
        <f t="shared" ref="J264:J327" si="4">E264*(F264/$H$1)*(1+(G264/100)-(H264/100))*($H$2/I264)^0.5</f>
        <v>8746.5288590897544</v>
      </c>
      <c r="K264" s="2">
        <v>37.261975999999997</v>
      </c>
      <c r="L264">
        <v>-7.1804969999999999</v>
      </c>
    </row>
    <row r="265" spans="1:12" ht="34.200000000000003" customHeight="1" thickBot="1" x14ac:dyDescent="0.35">
      <c r="A265" s="1">
        <v>2104501</v>
      </c>
      <c r="B265" s="2" t="s">
        <v>319</v>
      </c>
      <c r="C265" s="2">
        <v>1</v>
      </c>
      <c r="D265" s="2">
        <v>21207</v>
      </c>
      <c r="E265" s="9">
        <v>275</v>
      </c>
      <c r="F265" s="9">
        <v>15050</v>
      </c>
      <c r="G265" s="3">
        <v>15.3</v>
      </c>
      <c r="H265" s="3">
        <v>19.600000000000001</v>
      </c>
      <c r="I265" s="3">
        <v>1.9</v>
      </c>
      <c r="J265" s="5">
        <f t="shared" si="4"/>
        <v>293.59355661159321</v>
      </c>
      <c r="K265" s="2">
        <v>37.854528999999999</v>
      </c>
      <c r="L265">
        <v>-6.6068439999999997</v>
      </c>
    </row>
    <row r="266" spans="1:12" ht="34.200000000000003" customHeight="1" thickBot="1" x14ac:dyDescent="0.35">
      <c r="A266" s="1">
        <v>2104601</v>
      </c>
      <c r="B266" s="2" t="s">
        <v>320</v>
      </c>
      <c r="C266" s="2">
        <v>1</v>
      </c>
      <c r="D266" s="2">
        <v>21820</v>
      </c>
      <c r="E266" s="9">
        <v>3367</v>
      </c>
      <c r="F266" s="9">
        <v>15750</v>
      </c>
      <c r="G266" s="3">
        <v>17.8</v>
      </c>
      <c r="H266" s="3">
        <v>12</v>
      </c>
      <c r="I266" s="3">
        <v>2.8</v>
      </c>
      <c r="J266" s="5">
        <f t="shared" si="4"/>
        <v>3425.8829098922538</v>
      </c>
      <c r="K266" s="2">
        <v>37.250979999999998</v>
      </c>
      <c r="L266">
        <v>-6.736694</v>
      </c>
    </row>
    <row r="267" spans="1:12" ht="34.200000000000003" customHeight="1" thickBot="1" x14ac:dyDescent="0.35">
      <c r="A267" s="1">
        <v>2104701</v>
      </c>
      <c r="B267" s="2" t="s">
        <v>321</v>
      </c>
      <c r="C267" s="2">
        <v>1</v>
      </c>
      <c r="D267" s="2">
        <v>21890</v>
      </c>
      <c r="E267" s="9">
        <v>899</v>
      </c>
      <c r="F267" s="9">
        <v>14350</v>
      </c>
      <c r="G267" s="3">
        <v>16.399999999999999</v>
      </c>
      <c r="H267" s="3">
        <v>19.8</v>
      </c>
      <c r="I267" s="3">
        <v>2.4</v>
      </c>
      <c r="J267" s="5">
        <f t="shared" si="4"/>
        <v>821.91193586960787</v>
      </c>
      <c r="K267" s="2">
        <v>37.381895</v>
      </c>
      <c r="L267">
        <v>-6.4201370000000004</v>
      </c>
    </row>
    <row r="268" spans="1:12" ht="34.200000000000003" customHeight="1" thickBot="1" x14ac:dyDescent="0.35">
      <c r="A268" s="1">
        <v>2104702</v>
      </c>
      <c r="B268" s="2" t="s">
        <v>321</v>
      </c>
      <c r="C268" s="2">
        <v>2</v>
      </c>
      <c r="D268" s="2">
        <v>21890</v>
      </c>
      <c r="E268" s="9">
        <v>1332</v>
      </c>
      <c r="F268" s="9">
        <v>12950</v>
      </c>
      <c r="G268" s="3">
        <v>13.9</v>
      </c>
      <c r="H268" s="3">
        <v>21.7</v>
      </c>
      <c r="I268" s="3">
        <v>2.5</v>
      </c>
      <c r="J268" s="5">
        <f t="shared" si="4"/>
        <v>1027.7254208437625</v>
      </c>
      <c r="K268" s="2">
        <v>37.415444999999998</v>
      </c>
      <c r="L268">
        <v>-6.4637859999999998</v>
      </c>
    </row>
    <row r="269" spans="1:12" ht="34.200000000000003" customHeight="1" thickBot="1" x14ac:dyDescent="0.35">
      <c r="A269" s="1">
        <v>2104801</v>
      </c>
      <c r="B269" s="2" t="s">
        <v>615</v>
      </c>
      <c r="C269" s="2">
        <v>1</v>
      </c>
      <c r="D269" s="2">
        <v>21208</v>
      </c>
      <c r="E269" s="9">
        <v>427</v>
      </c>
      <c r="F269" s="9">
        <v>15050</v>
      </c>
      <c r="G269" s="3">
        <v>16.600000000000001</v>
      </c>
      <c r="H269" s="3">
        <v>20.399999999999999</v>
      </c>
      <c r="I269" s="3">
        <v>2.2000000000000002</v>
      </c>
      <c r="J269" s="5">
        <f t="shared" si="4"/>
        <v>425.86337890348165</v>
      </c>
      <c r="K269" s="2">
        <v>37.902292000000003</v>
      </c>
      <c r="L269">
        <v>-6.621715</v>
      </c>
    </row>
    <row r="270" spans="1:12" ht="34.200000000000003" customHeight="1" thickBot="1" x14ac:dyDescent="0.35">
      <c r="A270" s="1">
        <v>2104901</v>
      </c>
      <c r="B270" s="2" t="s">
        <v>323</v>
      </c>
      <c r="C270" s="2">
        <v>1</v>
      </c>
      <c r="D270" s="2">
        <v>21660</v>
      </c>
      <c r="E270" s="9">
        <v>2910</v>
      </c>
      <c r="F270" s="9">
        <v>18550</v>
      </c>
      <c r="G270" s="3">
        <v>12.8</v>
      </c>
      <c r="H270" s="3">
        <v>26.1</v>
      </c>
      <c r="I270" s="3">
        <v>2.2999999999999998</v>
      </c>
      <c r="J270" s="5">
        <f t="shared" si="4"/>
        <v>3153.0747840953859</v>
      </c>
      <c r="K270" s="2">
        <v>37.692604000000003</v>
      </c>
      <c r="L270">
        <v>-6.5927910000000001</v>
      </c>
    </row>
    <row r="271" spans="1:12" ht="34.200000000000003" customHeight="1" thickBot="1" x14ac:dyDescent="0.35">
      <c r="A271" s="1">
        <v>2104902</v>
      </c>
      <c r="B271" s="2" t="s">
        <v>323</v>
      </c>
      <c r="C271" s="2">
        <v>2</v>
      </c>
      <c r="D271" s="2">
        <v>21660</v>
      </c>
      <c r="E271" s="9">
        <v>799</v>
      </c>
      <c r="F271" s="9">
        <v>13650</v>
      </c>
      <c r="G271" s="3">
        <v>17.5</v>
      </c>
      <c r="H271" s="3">
        <v>21.3</v>
      </c>
      <c r="I271" s="3">
        <v>2.2000000000000002</v>
      </c>
      <c r="J271" s="5">
        <f t="shared" si="4"/>
        <v>722.74542508640013</v>
      </c>
      <c r="K271" s="2">
        <v>37.700493000000002</v>
      </c>
      <c r="L271">
        <v>-6.5833449999999996</v>
      </c>
    </row>
    <row r="272" spans="1:12" ht="34.200000000000003" customHeight="1" thickBot="1" x14ac:dyDescent="0.35">
      <c r="A272" s="1">
        <v>2105001</v>
      </c>
      <c r="B272" s="2" t="s">
        <v>324</v>
      </c>
      <c r="C272" s="2">
        <v>1</v>
      </c>
      <c r="D272" s="2">
        <v>21800</v>
      </c>
      <c r="E272" s="9">
        <v>6447</v>
      </c>
      <c r="F272" s="9">
        <v>14350</v>
      </c>
      <c r="G272" s="3">
        <v>20.6</v>
      </c>
      <c r="H272" s="3">
        <v>13.6</v>
      </c>
      <c r="I272" s="3">
        <v>2.9</v>
      </c>
      <c r="J272" s="5">
        <f t="shared" si="4"/>
        <v>5939.3174574514333</v>
      </c>
      <c r="K272" s="2">
        <v>37.296433</v>
      </c>
      <c r="L272">
        <v>-6.8304369999999999</v>
      </c>
    </row>
    <row r="273" spans="1:12" ht="34.200000000000003" customHeight="1" thickBot="1" x14ac:dyDescent="0.35">
      <c r="A273" s="1">
        <v>2105002</v>
      </c>
      <c r="B273" s="2" t="s">
        <v>324</v>
      </c>
      <c r="C273" s="2">
        <v>2</v>
      </c>
      <c r="D273" s="2">
        <v>21800</v>
      </c>
      <c r="E273" s="9">
        <v>4612</v>
      </c>
      <c r="F273" s="9">
        <v>15750</v>
      </c>
      <c r="G273" s="3">
        <v>20</v>
      </c>
      <c r="H273" s="3">
        <v>16.3</v>
      </c>
      <c r="I273" s="3">
        <v>2.8</v>
      </c>
      <c r="J273" s="5">
        <f t="shared" si="4"/>
        <v>4599.5123198133815</v>
      </c>
      <c r="K273" s="2">
        <v>37.277358999999997</v>
      </c>
      <c r="L273">
        <v>-6.835534</v>
      </c>
    </row>
    <row r="274" spans="1:12" ht="34.200000000000003" customHeight="1" thickBot="1" x14ac:dyDescent="0.35">
      <c r="A274" s="1">
        <v>2105003</v>
      </c>
      <c r="B274" s="2" t="s">
        <v>324</v>
      </c>
      <c r="C274" s="2">
        <v>3</v>
      </c>
      <c r="D274" s="2">
        <v>21130</v>
      </c>
      <c r="E274" s="9">
        <v>11985</v>
      </c>
      <c r="F274" s="9">
        <v>15050</v>
      </c>
      <c r="G274" s="3">
        <v>14.3</v>
      </c>
      <c r="H274" s="3">
        <v>10.7</v>
      </c>
      <c r="I274" s="3">
        <v>2.6</v>
      </c>
      <c r="J274" s="5">
        <f t="shared" si="4"/>
        <v>11841.038923368758</v>
      </c>
      <c r="K274" s="2">
        <v>37.186208999999998</v>
      </c>
      <c r="L274">
        <v>-6.8115579999999998</v>
      </c>
    </row>
    <row r="275" spans="1:12" ht="34.200000000000003" customHeight="1" thickBot="1" x14ac:dyDescent="0.35">
      <c r="A275" s="1">
        <v>2105101</v>
      </c>
      <c r="B275" s="2" t="s">
        <v>616</v>
      </c>
      <c r="C275" s="2">
        <v>1</v>
      </c>
      <c r="D275" s="2">
        <v>21291</v>
      </c>
      <c r="E275" s="9">
        <v>258</v>
      </c>
      <c r="F275" s="9">
        <v>15050</v>
      </c>
      <c r="G275" s="3">
        <v>8.5</v>
      </c>
      <c r="H275" s="3">
        <v>27.9</v>
      </c>
      <c r="I275" s="3">
        <v>1.9</v>
      </c>
      <c r="J275" s="5">
        <f t="shared" si="4"/>
        <v>231.98325414749726</v>
      </c>
      <c r="K275" s="2">
        <v>37.974212000000001</v>
      </c>
      <c r="L275">
        <v>-6.7585160000000002</v>
      </c>
    </row>
    <row r="276" spans="1:12" ht="34.200000000000003" customHeight="1" thickBot="1" x14ac:dyDescent="0.35">
      <c r="A276" s="1">
        <v>2105201</v>
      </c>
      <c r="B276" s="2" t="s">
        <v>326</v>
      </c>
      <c r="C276" s="2">
        <v>1</v>
      </c>
      <c r="D276" s="2">
        <v>21670</v>
      </c>
      <c r="E276" s="9">
        <v>1815</v>
      </c>
      <c r="F276" s="9">
        <v>16450</v>
      </c>
      <c r="G276" s="3">
        <v>15.5</v>
      </c>
      <c r="H276" s="3">
        <v>25.1</v>
      </c>
      <c r="I276" s="3">
        <v>2.4</v>
      </c>
      <c r="J276" s="5">
        <f t="shared" si="4"/>
        <v>1780.1128297034647</v>
      </c>
      <c r="K276" s="2">
        <v>37.699668000000003</v>
      </c>
      <c r="L276">
        <v>-6.5548830000000002</v>
      </c>
    </row>
    <row r="277" spans="1:12" ht="34.200000000000003" customHeight="1" thickBot="1" x14ac:dyDescent="0.35">
      <c r="A277" s="1">
        <v>2105202</v>
      </c>
      <c r="B277" s="2" t="s">
        <v>326</v>
      </c>
      <c r="C277" s="2">
        <v>2</v>
      </c>
      <c r="D277" s="2">
        <v>21670</v>
      </c>
      <c r="E277" s="9">
        <v>1526</v>
      </c>
      <c r="F277" s="9">
        <v>17150</v>
      </c>
      <c r="G277" s="3">
        <v>14</v>
      </c>
      <c r="H277" s="3">
        <v>23.7</v>
      </c>
      <c r="I277" s="3">
        <v>2.4</v>
      </c>
      <c r="J277" s="5">
        <f t="shared" si="4"/>
        <v>1558.6298036977018</v>
      </c>
      <c r="K277" s="2">
        <v>37.717754999999997</v>
      </c>
      <c r="L277">
        <v>-6.5287550000000003</v>
      </c>
    </row>
    <row r="278" spans="1:12" ht="34.200000000000003" customHeight="1" thickBot="1" x14ac:dyDescent="0.35">
      <c r="A278" s="1">
        <v>2105203</v>
      </c>
      <c r="B278" s="2" t="s">
        <v>326</v>
      </c>
      <c r="C278" s="2">
        <v>3</v>
      </c>
      <c r="D278" s="2">
        <v>21670</v>
      </c>
      <c r="E278" s="9">
        <v>1709</v>
      </c>
      <c r="F278" s="9">
        <v>16450</v>
      </c>
      <c r="G278" s="3">
        <v>14.6</v>
      </c>
      <c r="H278" s="3">
        <v>25.3</v>
      </c>
      <c r="I278" s="3">
        <v>2.4</v>
      </c>
      <c r="J278" s="5">
        <f t="shared" si="4"/>
        <v>1655.7546829427561</v>
      </c>
      <c r="K278" s="2">
        <v>37.681990999999996</v>
      </c>
      <c r="L278">
        <v>-6.5168850000000003</v>
      </c>
    </row>
    <row r="279" spans="1:12" ht="34.200000000000003" customHeight="1" thickBot="1" x14ac:dyDescent="0.35">
      <c r="A279" s="1">
        <v>2105301</v>
      </c>
      <c r="B279" s="2" t="s">
        <v>327</v>
      </c>
      <c r="C279" s="2">
        <v>1</v>
      </c>
      <c r="D279" s="2">
        <v>21840</v>
      </c>
      <c r="E279" s="9">
        <v>999</v>
      </c>
      <c r="F279" s="9">
        <v>17150</v>
      </c>
      <c r="G279" s="3">
        <v>13</v>
      </c>
      <c r="H279" s="3">
        <v>24</v>
      </c>
      <c r="I279" s="3">
        <v>2.6</v>
      </c>
      <c r="J279" s="5">
        <f t="shared" si="4"/>
        <v>966.21802315872492</v>
      </c>
      <c r="K279" s="2">
        <v>37.360278000000001</v>
      </c>
      <c r="L279">
        <v>-6.679068</v>
      </c>
    </row>
    <row r="280" spans="1:12" ht="34.200000000000003" customHeight="1" thickBot="1" x14ac:dyDescent="0.35">
      <c r="A280" s="1">
        <v>2105302</v>
      </c>
      <c r="B280" s="2" t="s">
        <v>327</v>
      </c>
      <c r="C280" s="2">
        <v>2</v>
      </c>
      <c r="D280" s="2">
        <v>21840</v>
      </c>
      <c r="E280" s="9">
        <v>1729</v>
      </c>
      <c r="F280" s="9">
        <v>15050</v>
      </c>
      <c r="G280" s="3">
        <v>19.399999999999999</v>
      </c>
      <c r="H280" s="3">
        <v>20.2</v>
      </c>
      <c r="I280" s="3">
        <v>2.6</v>
      </c>
      <c r="J280" s="5">
        <f t="shared" si="4"/>
        <v>1635.6812689056742</v>
      </c>
      <c r="K280" s="2">
        <v>37.355462000000003</v>
      </c>
      <c r="L280">
        <v>-6.658677</v>
      </c>
    </row>
    <row r="281" spans="1:12" ht="34.200000000000003" customHeight="1" thickBot="1" x14ac:dyDescent="0.35">
      <c r="A281" s="1">
        <v>2105303</v>
      </c>
      <c r="B281" s="2" t="s">
        <v>327</v>
      </c>
      <c r="C281" s="2">
        <v>3</v>
      </c>
      <c r="D281" s="2">
        <v>21840</v>
      </c>
      <c r="E281" s="9">
        <v>1545</v>
      </c>
      <c r="F281" s="9">
        <v>14350</v>
      </c>
      <c r="G281" s="3">
        <v>19.5</v>
      </c>
      <c r="H281" s="3">
        <v>14.2</v>
      </c>
      <c r="I281" s="3">
        <v>2.7</v>
      </c>
      <c r="J281" s="5">
        <f t="shared" si="4"/>
        <v>1451.6738809937308</v>
      </c>
      <c r="K281" s="2">
        <v>37.446300999999998</v>
      </c>
      <c r="L281">
        <v>-6.6815300000000004</v>
      </c>
    </row>
    <row r="282" spans="1:12" ht="34.200000000000003" customHeight="1" thickBot="1" x14ac:dyDescent="0.35">
      <c r="A282" s="1">
        <v>2105401</v>
      </c>
      <c r="B282" s="2" t="s">
        <v>617</v>
      </c>
      <c r="C282" s="2">
        <v>1</v>
      </c>
      <c r="D282" s="2">
        <v>21700</v>
      </c>
      <c r="E282" s="9">
        <v>10605</v>
      </c>
      <c r="F282" s="9">
        <v>15750</v>
      </c>
      <c r="G282" s="3">
        <v>19.7</v>
      </c>
      <c r="H282" s="3">
        <v>16.899999999999999</v>
      </c>
      <c r="I282" s="3">
        <v>2.8</v>
      </c>
      <c r="J282" s="5">
        <f t="shared" si="4"/>
        <v>10484.495049154042</v>
      </c>
      <c r="K282" s="2">
        <v>37.421737999999998</v>
      </c>
      <c r="L282">
        <v>-6.5605039999999999</v>
      </c>
    </row>
    <row r="283" spans="1:12" ht="34.200000000000003" customHeight="1" thickBot="1" x14ac:dyDescent="0.35">
      <c r="A283" s="1">
        <v>2105501</v>
      </c>
      <c r="B283" s="2" t="s">
        <v>329</v>
      </c>
      <c r="C283" s="2">
        <v>1</v>
      </c>
      <c r="D283" s="2">
        <v>21810</v>
      </c>
      <c r="E283" s="9">
        <v>11813</v>
      </c>
      <c r="F283" s="9">
        <v>17850</v>
      </c>
      <c r="G283" s="3">
        <v>19.8</v>
      </c>
      <c r="H283" s="3">
        <v>12.2</v>
      </c>
      <c r="I283" s="3">
        <v>2.9</v>
      </c>
      <c r="J283" s="5">
        <f t="shared" si="4"/>
        <v>13613.001293408468</v>
      </c>
      <c r="K283" s="2">
        <v>37.238126000000001</v>
      </c>
      <c r="L283">
        <v>-6.8970370000000001</v>
      </c>
    </row>
    <row r="284" spans="1:12" ht="34.200000000000003" customHeight="1" thickBot="1" x14ac:dyDescent="0.35">
      <c r="A284" s="1">
        <v>2105601</v>
      </c>
      <c r="B284" s="2" t="s">
        <v>330</v>
      </c>
      <c r="C284" s="2">
        <v>1</v>
      </c>
      <c r="D284" s="2">
        <v>21880</v>
      </c>
      <c r="E284" s="9">
        <v>2024</v>
      </c>
      <c r="F284" s="9">
        <v>14350</v>
      </c>
      <c r="G284" s="3">
        <v>15.6</v>
      </c>
      <c r="H284" s="3">
        <v>24</v>
      </c>
      <c r="I284" s="3">
        <v>2.5</v>
      </c>
      <c r="J284" s="5">
        <f t="shared" si="4"/>
        <v>1719.2145086431997</v>
      </c>
      <c r="K284" s="2">
        <v>37.472130999999997</v>
      </c>
      <c r="L284">
        <v>-6.4658360000000004</v>
      </c>
    </row>
    <row r="285" spans="1:12" ht="34.200000000000003" customHeight="1" thickBot="1" x14ac:dyDescent="0.35">
      <c r="A285" s="1">
        <v>2105602</v>
      </c>
      <c r="B285" s="2" t="s">
        <v>330</v>
      </c>
      <c r="C285" s="2">
        <v>2</v>
      </c>
      <c r="D285" s="2">
        <v>21880</v>
      </c>
      <c r="E285" s="9">
        <v>1404</v>
      </c>
      <c r="F285" s="9">
        <v>15050</v>
      </c>
      <c r="G285" s="3">
        <v>15</v>
      </c>
      <c r="H285" s="3">
        <v>25.5</v>
      </c>
      <c r="I285" s="3">
        <v>2.4</v>
      </c>
      <c r="J285" s="5">
        <f t="shared" si="4"/>
        <v>1247.27785360232</v>
      </c>
      <c r="K285" s="2">
        <v>37.417848999999997</v>
      </c>
      <c r="L285">
        <v>-6.4015170000000001</v>
      </c>
    </row>
    <row r="286" spans="1:12" ht="34.200000000000003" customHeight="1" thickBot="1" x14ac:dyDescent="0.35">
      <c r="A286" s="1">
        <v>2105701</v>
      </c>
      <c r="B286" s="2" t="s">
        <v>331</v>
      </c>
      <c r="C286" s="2">
        <v>1</v>
      </c>
      <c r="D286" s="2">
        <v>21560</v>
      </c>
      <c r="E286" s="9">
        <v>1187</v>
      </c>
      <c r="F286" s="9">
        <v>14350</v>
      </c>
      <c r="G286" s="3">
        <v>16.600000000000001</v>
      </c>
      <c r="H286" s="3">
        <v>22.7</v>
      </c>
      <c r="I286" s="3">
        <v>2.5</v>
      </c>
      <c r="J286" s="5">
        <f t="shared" si="4"/>
        <v>1033.5711941592538</v>
      </c>
      <c r="K286" s="2">
        <v>37.746803999999997</v>
      </c>
      <c r="L286">
        <v>-7.3165110000000002</v>
      </c>
    </row>
    <row r="287" spans="1:12" ht="34.200000000000003" customHeight="1" thickBot="1" x14ac:dyDescent="0.35">
      <c r="A287" s="1">
        <v>2105801</v>
      </c>
      <c r="B287" s="2" t="s">
        <v>332</v>
      </c>
      <c r="C287" s="2">
        <v>1</v>
      </c>
      <c r="D287" s="2">
        <v>21550</v>
      </c>
      <c r="E287" s="9">
        <v>1068</v>
      </c>
      <c r="F287" s="9">
        <v>15050</v>
      </c>
      <c r="G287" s="3">
        <v>13</v>
      </c>
      <c r="H287" s="3">
        <v>24.6</v>
      </c>
      <c r="I287" s="3">
        <v>2.2999999999999998</v>
      </c>
      <c r="J287" s="5">
        <f t="shared" si="4"/>
        <v>957.27846391999412</v>
      </c>
      <c r="K287" s="2">
        <v>37.635550000000002</v>
      </c>
      <c r="L287">
        <v>-7.3020440000000004</v>
      </c>
    </row>
    <row r="288" spans="1:12" ht="34.200000000000003" customHeight="1" thickBot="1" x14ac:dyDescent="0.35">
      <c r="A288" s="1">
        <v>2105802</v>
      </c>
      <c r="B288" s="2" t="s">
        <v>332</v>
      </c>
      <c r="C288" s="2">
        <v>2</v>
      </c>
      <c r="D288" s="2">
        <v>21550</v>
      </c>
      <c r="E288" s="9">
        <v>2052</v>
      </c>
      <c r="F288" s="9">
        <v>15750</v>
      </c>
      <c r="G288" s="3">
        <v>16.899999999999999</v>
      </c>
      <c r="H288" s="3">
        <v>22.7</v>
      </c>
      <c r="I288" s="3">
        <v>2.2999999999999998</v>
      </c>
      <c r="J288" s="5">
        <f t="shared" si="4"/>
        <v>2051.1011982709852</v>
      </c>
      <c r="K288" s="2">
        <v>37.612372000000001</v>
      </c>
      <c r="L288">
        <v>-7.2519499999999999</v>
      </c>
    </row>
    <row r="289" spans="1:12" ht="34.200000000000003" customHeight="1" thickBot="1" x14ac:dyDescent="0.35">
      <c r="A289" s="1">
        <v>2105901</v>
      </c>
      <c r="B289" s="2" t="s">
        <v>333</v>
      </c>
      <c r="C289" s="2">
        <v>1</v>
      </c>
      <c r="D289" s="2">
        <v>21209</v>
      </c>
      <c r="E289" s="9">
        <v>280</v>
      </c>
      <c r="F289" s="9">
        <v>15050</v>
      </c>
      <c r="G289" s="3">
        <v>17.5</v>
      </c>
      <c r="H289" s="3">
        <v>11.4</v>
      </c>
      <c r="I289" s="3">
        <v>2.4</v>
      </c>
      <c r="J289" s="5">
        <f t="shared" si="4"/>
        <v>294.88079131306984</v>
      </c>
      <c r="K289" s="2">
        <v>37.892282999999999</v>
      </c>
      <c r="L289">
        <v>-6.4658660000000001</v>
      </c>
    </row>
    <row r="290" spans="1:12" ht="34.200000000000003" customHeight="1" thickBot="1" x14ac:dyDescent="0.35">
      <c r="A290" s="1">
        <v>2106001</v>
      </c>
      <c r="B290" s="2" t="s">
        <v>334</v>
      </c>
      <c r="C290" s="2">
        <v>1</v>
      </c>
      <c r="D290" s="2">
        <v>21450</v>
      </c>
      <c r="E290" s="9">
        <v>15966</v>
      </c>
      <c r="F290" s="9">
        <v>15750</v>
      </c>
      <c r="G290" s="3">
        <v>15</v>
      </c>
      <c r="H290" s="3">
        <v>19.8</v>
      </c>
      <c r="I290" s="3">
        <v>2.2999999999999998</v>
      </c>
      <c r="J290" s="5">
        <f t="shared" si="4"/>
        <v>16128.422898729636</v>
      </c>
      <c r="K290" s="2">
        <v>37.174196000000002</v>
      </c>
      <c r="L290">
        <v>-6.9540449999999998</v>
      </c>
    </row>
    <row r="291" spans="1:12" ht="34.200000000000003" customHeight="1" thickBot="1" x14ac:dyDescent="0.35">
      <c r="A291" s="1">
        <v>2106101</v>
      </c>
      <c r="B291" s="2" t="s">
        <v>335</v>
      </c>
      <c r="C291" s="2">
        <v>1</v>
      </c>
      <c r="D291" s="2">
        <v>21720</v>
      </c>
      <c r="E291" s="9">
        <v>3982</v>
      </c>
      <c r="F291" s="9">
        <v>13650</v>
      </c>
      <c r="G291" s="3">
        <v>18.3</v>
      </c>
      <c r="H291" s="3">
        <v>16.5</v>
      </c>
      <c r="I291" s="3">
        <v>2.7</v>
      </c>
      <c r="J291" s="5">
        <f t="shared" si="4"/>
        <v>3440.6618495488506</v>
      </c>
      <c r="K291" s="2">
        <v>37.299782</v>
      </c>
      <c r="L291">
        <v>-6.6339090000000001</v>
      </c>
    </row>
    <row r="292" spans="1:12" ht="34.200000000000003" customHeight="1" thickBot="1" x14ac:dyDescent="0.35">
      <c r="A292" s="1">
        <v>2106102</v>
      </c>
      <c r="B292" s="2" t="s">
        <v>335</v>
      </c>
      <c r="C292" s="2">
        <v>2</v>
      </c>
      <c r="D292" s="2">
        <v>21720</v>
      </c>
      <c r="E292" s="9">
        <v>3853</v>
      </c>
      <c r="F292" s="9">
        <v>12950</v>
      </c>
      <c r="G292" s="3">
        <v>18.100000000000001</v>
      </c>
      <c r="H292" s="3">
        <v>15.8</v>
      </c>
      <c r="I292" s="3">
        <v>2.7</v>
      </c>
      <c r="J292" s="5">
        <f t="shared" si="4"/>
        <v>3173.9838896337542</v>
      </c>
      <c r="K292" s="2">
        <v>37.270166000000003</v>
      </c>
      <c r="L292">
        <v>-6.6197749999999997</v>
      </c>
    </row>
    <row r="293" spans="1:12" ht="34.200000000000003" customHeight="1" thickBot="1" x14ac:dyDescent="0.35">
      <c r="A293" s="1">
        <v>2106201</v>
      </c>
      <c r="B293" s="2" t="s">
        <v>336</v>
      </c>
      <c r="C293" s="2">
        <v>1</v>
      </c>
      <c r="D293" s="2">
        <v>21250</v>
      </c>
      <c r="E293" s="9">
        <v>1683</v>
      </c>
      <c r="F293" s="9">
        <v>13650</v>
      </c>
      <c r="G293" s="3">
        <v>14.7</v>
      </c>
      <c r="H293" s="3">
        <v>23.9</v>
      </c>
      <c r="I293" s="3">
        <v>2.2000000000000002</v>
      </c>
      <c r="J293" s="5">
        <f t="shared" si="4"/>
        <v>1436.9228944987544</v>
      </c>
      <c r="K293" s="2">
        <v>37.924801000000002</v>
      </c>
      <c r="L293">
        <v>-7.1889779999999996</v>
      </c>
    </row>
    <row r="294" spans="1:12" ht="34.200000000000003" customHeight="1" thickBot="1" x14ac:dyDescent="0.35">
      <c r="A294" s="1">
        <v>2106301</v>
      </c>
      <c r="B294" s="2" t="s">
        <v>337</v>
      </c>
      <c r="C294" s="2">
        <v>1</v>
      </c>
      <c r="D294" s="2">
        <v>21510</v>
      </c>
      <c r="E294" s="9">
        <v>3974</v>
      </c>
      <c r="F294" s="9">
        <v>15750</v>
      </c>
      <c r="G294" s="3">
        <v>18.7</v>
      </c>
      <c r="H294" s="3">
        <v>17.7</v>
      </c>
      <c r="I294" s="3">
        <v>2.6</v>
      </c>
      <c r="J294" s="5">
        <f t="shared" si="4"/>
        <v>4005.7635432334318</v>
      </c>
      <c r="K294" s="2">
        <v>37.420188000000003</v>
      </c>
      <c r="L294">
        <v>-7.1053879999999996</v>
      </c>
    </row>
    <row r="295" spans="1:12" ht="34.200000000000003" customHeight="1" thickBot="1" x14ac:dyDescent="0.35">
      <c r="A295" s="1">
        <v>2106401</v>
      </c>
      <c r="B295" s="2" t="s">
        <v>338</v>
      </c>
      <c r="C295" s="2">
        <v>1</v>
      </c>
      <c r="D295" s="2">
        <v>21610</v>
      </c>
      <c r="E295" s="9">
        <v>4030</v>
      </c>
      <c r="F295" s="9">
        <v>15050</v>
      </c>
      <c r="G295" s="3">
        <v>21.3</v>
      </c>
      <c r="H295" s="3">
        <v>12.8</v>
      </c>
      <c r="I295" s="3">
        <v>2.8</v>
      </c>
      <c r="J295" s="5">
        <f t="shared" si="4"/>
        <v>4018.2269079706625</v>
      </c>
      <c r="K295" s="2">
        <v>37.298026</v>
      </c>
      <c r="L295">
        <v>-6.8536669999999997</v>
      </c>
    </row>
    <row r="296" spans="1:12" ht="34.200000000000003" customHeight="1" thickBot="1" x14ac:dyDescent="0.35">
      <c r="A296" s="1">
        <v>2106402</v>
      </c>
      <c r="B296" s="2" t="s">
        <v>338</v>
      </c>
      <c r="C296" s="2">
        <v>2</v>
      </c>
      <c r="D296" s="2">
        <v>21610</v>
      </c>
      <c r="E296" s="9">
        <v>5658</v>
      </c>
      <c r="F296" s="9">
        <v>15750</v>
      </c>
      <c r="G296" s="3">
        <v>21.3</v>
      </c>
      <c r="H296" s="3">
        <v>13.7</v>
      </c>
      <c r="I296" s="3">
        <v>2.8</v>
      </c>
      <c r="J296" s="5">
        <f t="shared" si="4"/>
        <v>5854.8927746080253</v>
      </c>
      <c r="K296" s="2">
        <v>37.353954000000002</v>
      </c>
      <c r="L296">
        <v>-6.8623710000000004</v>
      </c>
    </row>
    <row r="297" spans="1:12" ht="34.200000000000003" customHeight="1" thickBot="1" x14ac:dyDescent="0.35">
      <c r="A297" s="1">
        <v>2106601</v>
      </c>
      <c r="B297" s="2" t="s">
        <v>340</v>
      </c>
      <c r="C297" s="2">
        <v>1</v>
      </c>
      <c r="D297" s="2">
        <v>21591</v>
      </c>
      <c r="E297" s="9">
        <v>642</v>
      </c>
      <c r="F297" s="9">
        <v>16450</v>
      </c>
      <c r="G297" s="3">
        <v>11.7</v>
      </c>
      <c r="H297" s="3">
        <v>26.3</v>
      </c>
      <c r="I297" s="3">
        <v>2.2999999999999998</v>
      </c>
      <c r="J297" s="5">
        <f t="shared" si="4"/>
        <v>607.62701183893125</v>
      </c>
      <c r="K297" s="2">
        <v>37.385368999999997</v>
      </c>
      <c r="L297">
        <v>-7.3789300000000004</v>
      </c>
    </row>
    <row r="298" spans="1:12" ht="34.200000000000003" customHeight="1" thickBot="1" x14ac:dyDescent="0.35">
      <c r="A298" s="1">
        <v>2106501</v>
      </c>
      <c r="B298" s="2" t="s">
        <v>339</v>
      </c>
      <c r="C298" s="2">
        <v>1</v>
      </c>
      <c r="D298" s="2">
        <v>21595</v>
      </c>
      <c r="E298" s="9">
        <v>419</v>
      </c>
      <c r="F298" s="9">
        <v>15750</v>
      </c>
      <c r="G298" s="3">
        <v>14.1</v>
      </c>
      <c r="H298" s="3">
        <v>29.4</v>
      </c>
      <c r="I298" s="3">
        <v>2.1</v>
      </c>
      <c r="J298" s="5">
        <f t="shared" si="4"/>
        <v>394.10371890503882</v>
      </c>
      <c r="K298" s="2">
        <v>37.448855999999999</v>
      </c>
      <c r="L298">
        <v>-7.4033110000000004</v>
      </c>
    </row>
    <row r="299" spans="1:12" ht="34.200000000000003" customHeight="1" thickBot="1" x14ac:dyDescent="0.35">
      <c r="A299" s="1">
        <v>2106701</v>
      </c>
      <c r="B299" s="2" t="s">
        <v>341</v>
      </c>
      <c r="C299" s="2">
        <v>1</v>
      </c>
      <c r="D299" s="2">
        <v>21230</v>
      </c>
      <c r="E299" s="9">
        <v>476</v>
      </c>
      <c r="F299" s="9">
        <v>15750</v>
      </c>
      <c r="G299" s="3">
        <v>10.5</v>
      </c>
      <c r="H299" s="3">
        <v>23.1</v>
      </c>
      <c r="I299" s="3">
        <v>2.1</v>
      </c>
      <c r="J299" s="5">
        <f t="shared" si="4"/>
        <v>461.98884044979718</v>
      </c>
      <c r="K299" s="2">
        <v>37.853817999999997</v>
      </c>
      <c r="L299">
        <v>-6.7200040000000003</v>
      </c>
    </row>
    <row r="300" spans="1:12" ht="34.200000000000003" customHeight="1" thickBot="1" x14ac:dyDescent="0.35">
      <c r="A300" s="1">
        <v>2106801</v>
      </c>
      <c r="B300" s="2" t="s">
        <v>342</v>
      </c>
      <c r="C300" s="2">
        <v>1</v>
      </c>
      <c r="D300" s="2">
        <v>21570</v>
      </c>
      <c r="E300" s="9">
        <v>1135</v>
      </c>
      <c r="F300" s="9">
        <v>13650</v>
      </c>
      <c r="G300" s="3">
        <v>13.4</v>
      </c>
      <c r="H300" s="3">
        <v>25.5</v>
      </c>
      <c r="I300" s="3">
        <v>2.2000000000000002</v>
      </c>
      <c r="J300" s="5">
        <f t="shared" si="4"/>
        <v>938.09805723737736</v>
      </c>
      <c r="K300" s="2">
        <v>37.796346999999997</v>
      </c>
      <c r="L300">
        <v>-7.2034200000000004</v>
      </c>
    </row>
    <row r="301" spans="1:12" ht="34.200000000000003" customHeight="1" thickBot="1" x14ac:dyDescent="0.35">
      <c r="A301" s="1">
        <v>2106901</v>
      </c>
      <c r="B301" s="2" t="s">
        <v>343</v>
      </c>
      <c r="C301" s="2">
        <v>1</v>
      </c>
      <c r="D301" s="2">
        <v>21260</v>
      </c>
      <c r="E301" s="9">
        <v>2061</v>
      </c>
      <c r="F301" s="9">
        <v>15050</v>
      </c>
      <c r="G301" s="3">
        <v>17.3</v>
      </c>
      <c r="H301" s="3">
        <v>21.1</v>
      </c>
      <c r="I301" s="3">
        <v>2.2999999999999998</v>
      </c>
      <c r="J301" s="5">
        <f t="shared" si="4"/>
        <v>2010.3322268987388</v>
      </c>
      <c r="K301" s="2">
        <v>37.879263000000002</v>
      </c>
      <c r="L301">
        <v>-6.2191539999999996</v>
      </c>
    </row>
    <row r="302" spans="1:12" ht="34.200000000000003" customHeight="1" thickBot="1" x14ac:dyDescent="0.35">
      <c r="A302" s="1">
        <v>2107001</v>
      </c>
      <c r="B302" s="2" t="s">
        <v>344</v>
      </c>
      <c r="C302" s="2">
        <v>1</v>
      </c>
      <c r="D302" s="2">
        <v>21620</v>
      </c>
      <c r="E302" s="9">
        <v>5216</v>
      </c>
      <c r="F302" s="9">
        <v>15750</v>
      </c>
      <c r="G302" s="3">
        <v>18.3</v>
      </c>
      <c r="H302" s="3">
        <v>17.2</v>
      </c>
      <c r="I302" s="3">
        <v>2.6</v>
      </c>
      <c r="J302" s="5">
        <f t="shared" si="4"/>
        <v>5262.8962839053202</v>
      </c>
      <c r="K302" s="2">
        <v>37.461969000000003</v>
      </c>
      <c r="L302">
        <v>-6.8889519999999997</v>
      </c>
    </row>
    <row r="303" spans="1:12" ht="34.200000000000003" customHeight="1" thickBot="1" x14ac:dyDescent="0.35">
      <c r="A303" s="1">
        <v>2107002</v>
      </c>
      <c r="B303" s="2" t="s">
        <v>344</v>
      </c>
      <c r="C303" s="2">
        <v>2</v>
      </c>
      <c r="D303" s="2">
        <v>21620</v>
      </c>
      <c r="E303" s="9">
        <v>2889</v>
      </c>
      <c r="F303" s="9">
        <v>17150</v>
      </c>
      <c r="G303" s="3">
        <v>16.899999999999999</v>
      </c>
      <c r="H303" s="3">
        <v>21.7</v>
      </c>
      <c r="I303" s="3">
        <v>2.5</v>
      </c>
      <c r="J303" s="5">
        <f t="shared" si="4"/>
        <v>3048.0409631137145</v>
      </c>
      <c r="K303" s="2">
        <v>37.380059000000003</v>
      </c>
      <c r="L303">
        <v>-6.8411559999999998</v>
      </c>
    </row>
    <row r="304" spans="1:12" ht="34.200000000000003" customHeight="1" thickBot="1" x14ac:dyDescent="0.35">
      <c r="A304" s="1">
        <v>2107101</v>
      </c>
      <c r="B304" s="2" t="s">
        <v>345</v>
      </c>
      <c r="C304" s="2">
        <v>1</v>
      </c>
      <c r="D304" s="2">
        <v>21291</v>
      </c>
      <c r="E304" s="9">
        <v>236</v>
      </c>
      <c r="F304" s="9">
        <v>14350</v>
      </c>
      <c r="G304" s="3">
        <v>11.9</v>
      </c>
      <c r="H304" s="3">
        <v>26.3</v>
      </c>
      <c r="I304" s="3">
        <v>1.9</v>
      </c>
      <c r="J304" s="5">
        <f t="shared" si="4"/>
        <v>214.88349411416951</v>
      </c>
      <c r="K304" s="2">
        <v>37.951909000000001</v>
      </c>
      <c r="L304">
        <v>-6.6714149999999997</v>
      </c>
    </row>
    <row r="305" spans="1:12" ht="34.200000000000003" customHeight="1" thickBot="1" x14ac:dyDescent="0.35">
      <c r="A305" s="1">
        <v>2107201</v>
      </c>
      <c r="B305" s="2" t="s">
        <v>346</v>
      </c>
      <c r="C305" s="2">
        <v>1</v>
      </c>
      <c r="D305" s="2">
        <v>21600</v>
      </c>
      <c r="E305" s="9">
        <v>3948</v>
      </c>
      <c r="F305" s="9">
        <v>17150</v>
      </c>
      <c r="G305" s="3">
        <v>19.100000000000001</v>
      </c>
      <c r="H305" s="3">
        <v>21.4</v>
      </c>
      <c r="I305" s="3">
        <v>2.5</v>
      </c>
      <c r="J305" s="5">
        <f t="shared" si="4"/>
        <v>4274.7233823596198</v>
      </c>
      <c r="K305" s="2">
        <v>37.574587000000001</v>
      </c>
      <c r="L305">
        <v>-6.7557070000000001</v>
      </c>
    </row>
    <row r="306" spans="1:12" ht="34.200000000000003" customHeight="1" thickBot="1" x14ac:dyDescent="0.35">
      <c r="A306" s="1">
        <v>2107202</v>
      </c>
      <c r="B306" s="2" t="s">
        <v>346</v>
      </c>
      <c r="C306" s="2">
        <v>2</v>
      </c>
      <c r="D306" s="2">
        <v>21600</v>
      </c>
      <c r="E306" s="9">
        <v>2845</v>
      </c>
      <c r="F306" s="9">
        <v>16450</v>
      </c>
      <c r="G306" s="3">
        <v>18.2</v>
      </c>
      <c r="H306" s="3">
        <v>19.8</v>
      </c>
      <c r="I306" s="3">
        <v>2.5</v>
      </c>
      <c r="J306" s="5">
        <f t="shared" si="4"/>
        <v>2975.8802840571502</v>
      </c>
      <c r="K306" s="2">
        <v>37.570985</v>
      </c>
      <c r="L306">
        <v>-6.7524480000000002</v>
      </c>
    </row>
    <row r="307" spans="1:12" ht="34.200000000000003" customHeight="1" thickBot="1" x14ac:dyDescent="0.35">
      <c r="A307" s="1">
        <v>2107203</v>
      </c>
      <c r="B307" s="2" t="s">
        <v>346</v>
      </c>
      <c r="C307" s="2">
        <v>3</v>
      </c>
      <c r="D307" s="2">
        <v>21600</v>
      </c>
      <c r="E307" s="9">
        <v>5861</v>
      </c>
      <c r="F307" s="9">
        <v>17850</v>
      </c>
      <c r="G307" s="3">
        <v>16.399999999999999</v>
      </c>
      <c r="H307" s="3">
        <v>22.6</v>
      </c>
      <c r="I307" s="3">
        <v>2.6</v>
      </c>
      <c r="J307" s="5">
        <f t="shared" si="4"/>
        <v>6218.2516705683674</v>
      </c>
      <c r="K307" s="2">
        <v>37.572336</v>
      </c>
      <c r="L307">
        <v>-6.758972</v>
      </c>
    </row>
    <row r="308" spans="1:12" ht="34.200000000000003" customHeight="1" thickBot="1" x14ac:dyDescent="0.35">
      <c r="A308" s="1">
        <v>2107301</v>
      </c>
      <c r="B308" s="2" t="s">
        <v>347</v>
      </c>
      <c r="C308" s="2">
        <v>1</v>
      </c>
      <c r="D308" s="2">
        <v>21590</v>
      </c>
      <c r="E308" s="9">
        <v>2918</v>
      </c>
      <c r="F308" s="9">
        <v>14350</v>
      </c>
      <c r="G308" s="3">
        <v>17.100000000000001</v>
      </c>
      <c r="H308" s="3">
        <v>18.100000000000001</v>
      </c>
      <c r="I308" s="3">
        <v>2.5</v>
      </c>
      <c r="J308" s="5">
        <f t="shared" si="4"/>
        <v>2678.8263851568558</v>
      </c>
      <c r="K308" s="2">
        <v>37.307746000000002</v>
      </c>
      <c r="L308">
        <v>-7.3307140000000004</v>
      </c>
    </row>
    <row r="309" spans="1:12" ht="34.200000000000003" customHeight="1" thickBot="1" x14ac:dyDescent="0.35">
      <c r="A309" s="1">
        <v>2107401</v>
      </c>
      <c r="B309" s="2" t="s">
        <v>348</v>
      </c>
      <c r="C309" s="2">
        <v>1</v>
      </c>
      <c r="D309" s="2">
        <v>21860</v>
      </c>
      <c r="E309" s="9">
        <v>3296</v>
      </c>
      <c r="F309" s="9">
        <v>13650</v>
      </c>
      <c r="G309" s="3">
        <v>16.399999999999999</v>
      </c>
      <c r="H309" s="3">
        <v>19.899999999999999</v>
      </c>
      <c r="I309" s="3">
        <v>2.6</v>
      </c>
      <c r="J309" s="5">
        <f t="shared" si="4"/>
        <v>2751.0765990480991</v>
      </c>
      <c r="K309" s="2">
        <v>37.395007</v>
      </c>
      <c r="L309">
        <v>-6.4744989999999998</v>
      </c>
    </row>
    <row r="310" spans="1:12" ht="34.200000000000003" customHeight="1" thickBot="1" x14ac:dyDescent="0.35">
      <c r="A310" s="1">
        <v>2107501</v>
      </c>
      <c r="B310" s="2" t="s">
        <v>349</v>
      </c>
      <c r="C310" s="2">
        <v>1</v>
      </c>
      <c r="D310" s="2">
        <v>21592</v>
      </c>
      <c r="E310" s="9">
        <v>379</v>
      </c>
      <c r="F310" s="9">
        <v>15050</v>
      </c>
      <c r="G310" s="3">
        <v>11.9</v>
      </c>
      <c r="H310" s="3">
        <v>29.8</v>
      </c>
      <c r="I310" s="3">
        <v>2</v>
      </c>
      <c r="J310" s="5">
        <f t="shared" si="4"/>
        <v>338.33432321945776</v>
      </c>
      <c r="K310" s="2">
        <v>37.618982000000003</v>
      </c>
      <c r="L310">
        <v>-7.0142110000000004</v>
      </c>
    </row>
    <row r="311" spans="1:12" ht="34.200000000000003" customHeight="1" thickBot="1" x14ac:dyDescent="0.35">
      <c r="A311" s="1">
        <v>2107601</v>
      </c>
      <c r="B311" s="2" t="s">
        <v>350</v>
      </c>
      <c r="C311" s="2">
        <v>1</v>
      </c>
      <c r="D311" s="2">
        <v>21540</v>
      </c>
      <c r="E311" s="9">
        <v>1721</v>
      </c>
      <c r="F311" s="9">
        <v>15750</v>
      </c>
      <c r="G311" s="3">
        <v>17.8</v>
      </c>
      <c r="H311" s="3">
        <v>19.399999999999999</v>
      </c>
      <c r="I311" s="3">
        <v>2.5</v>
      </c>
      <c r="J311" s="5">
        <f t="shared" si="4"/>
        <v>1723.5691478054518</v>
      </c>
      <c r="K311" s="2">
        <v>37.485138999999997</v>
      </c>
      <c r="L311">
        <v>-7.1937259999999998</v>
      </c>
    </row>
    <row r="312" spans="1:12" ht="34.200000000000003" customHeight="1" thickBot="1" x14ac:dyDescent="0.35">
      <c r="A312" s="1">
        <v>2107602</v>
      </c>
      <c r="B312" s="2" t="s">
        <v>350</v>
      </c>
      <c r="C312" s="2">
        <v>2</v>
      </c>
      <c r="D312" s="2">
        <v>21540</v>
      </c>
      <c r="E312" s="9">
        <v>1170</v>
      </c>
      <c r="F312" s="9">
        <v>15050</v>
      </c>
      <c r="G312" s="3">
        <v>13.7</v>
      </c>
      <c r="H312" s="3">
        <v>19.100000000000001</v>
      </c>
      <c r="I312" s="3">
        <v>2.2999999999999998</v>
      </c>
      <c r="J312" s="5">
        <f t="shared" si="4"/>
        <v>1122.2555686570324</v>
      </c>
      <c r="K312" s="2">
        <v>37.430416000000001</v>
      </c>
      <c r="L312">
        <v>-7.2194849999999997</v>
      </c>
    </row>
    <row r="313" spans="1:12" ht="34.200000000000003" customHeight="1" thickBot="1" x14ac:dyDescent="0.35">
      <c r="A313" s="1">
        <v>2107701</v>
      </c>
      <c r="B313" s="2" t="s">
        <v>351</v>
      </c>
      <c r="C313" s="2">
        <v>1</v>
      </c>
      <c r="D313" s="2">
        <v>21850</v>
      </c>
      <c r="E313" s="9">
        <v>801</v>
      </c>
      <c r="F313" s="9">
        <v>14350</v>
      </c>
      <c r="G313" s="3">
        <v>15.6</v>
      </c>
      <c r="H313" s="3">
        <v>21</v>
      </c>
      <c r="I313" s="3">
        <v>2.5</v>
      </c>
      <c r="J313" s="5">
        <f t="shared" si="4"/>
        <v>702.66405592839533</v>
      </c>
      <c r="K313" s="2">
        <v>37.414807000000003</v>
      </c>
      <c r="L313">
        <v>-6.6368099999999997</v>
      </c>
    </row>
    <row r="314" spans="1:12" ht="34.200000000000003" customHeight="1" thickBot="1" x14ac:dyDescent="0.35">
      <c r="A314" s="1">
        <v>2107702</v>
      </c>
      <c r="B314" s="2" t="s">
        <v>351</v>
      </c>
      <c r="C314" s="2">
        <v>2</v>
      </c>
      <c r="D314" s="2">
        <v>21850</v>
      </c>
      <c r="E314" s="9">
        <v>1343</v>
      </c>
      <c r="F314" s="9">
        <v>15750</v>
      </c>
      <c r="G314" s="3">
        <v>16.2</v>
      </c>
      <c r="H314" s="3">
        <v>20.9</v>
      </c>
      <c r="I314" s="3">
        <v>2.6</v>
      </c>
      <c r="J314" s="5">
        <f t="shared" si="4"/>
        <v>1277.3355120037825</v>
      </c>
      <c r="K314" s="2">
        <v>37.365470000000002</v>
      </c>
      <c r="L314">
        <v>-6.6065930000000002</v>
      </c>
    </row>
    <row r="315" spans="1:12" ht="34.200000000000003" customHeight="1" thickBot="1" x14ac:dyDescent="0.35">
      <c r="A315" s="1">
        <v>2107801</v>
      </c>
      <c r="B315" s="2" t="s">
        <v>352</v>
      </c>
      <c r="C315" s="2">
        <v>1</v>
      </c>
      <c r="D315" s="2">
        <v>21640</v>
      </c>
      <c r="E315" s="9">
        <v>1665</v>
      </c>
      <c r="F315" s="9">
        <v>16450</v>
      </c>
      <c r="G315" s="3">
        <v>12.1</v>
      </c>
      <c r="H315" s="3">
        <v>25.8</v>
      </c>
      <c r="I315" s="3">
        <v>2.2999999999999998</v>
      </c>
      <c r="J315" s="5">
        <f t="shared" si="4"/>
        <v>1592.4624730538735</v>
      </c>
      <c r="K315" s="2">
        <v>37.656064000000001</v>
      </c>
      <c r="L315">
        <v>-6.7508879999999998</v>
      </c>
    </row>
    <row r="316" spans="1:12" ht="34.200000000000003" customHeight="1" thickBot="1" x14ac:dyDescent="0.35">
      <c r="A316" s="1">
        <v>2107802</v>
      </c>
      <c r="B316" s="2" t="s">
        <v>352</v>
      </c>
      <c r="C316" s="2">
        <v>2</v>
      </c>
      <c r="D316" s="2">
        <v>21640</v>
      </c>
      <c r="E316" s="9">
        <v>1297</v>
      </c>
      <c r="F316" s="9">
        <v>16450</v>
      </c>
      <c r="G316" s="3">
        <v>12.7</v>
      </c>
      <c r="H316" s="3">
        <v>27.7</v>
      </c>
      <c r="I316" s="3">
        <v>2.2999999999999998</v>
      </c>
      <c r="J316" s="5">
        <f t="shared" si="4"/>
        <v>1221.808311267172</v>
      </c>
      <c r="K316" s="2">
        <v>37.612152000000002</v>
      </c>
      <c r="L316">
        <v>-6.6066690000000001</v>
      </c>
    </row>
    <row r="317" spans="1:12" ht="34.200000000000003" customHeight="1" thickBot="1" x14ac:dyDescent="0.35">
      <c r="A317" s="1">
        <v>2190201</v>
      </c>
      <c r="B317" s="2" t="s">
        <v>618</v>
      </c>
      <c r="C317" s="2">
        <v>1</v>
      </c>
      <c r="D317" s="2">
        <v>21310</v>
      </c>
      <c r="E317" s="9">
        <v>1191</v>
      </c>
      <c r="F317" s="9">
        <v>16450</v>
      </c>
      <c r="G317" s="3">
        <v>9.5</v>
      </c>
      <c r="H317" s="3">
        <v>27.9</v>
      </c>
      <c r="I317" s="3">
        <v>2.1</v>
      </c>
      <c r="J317" s="5">
        <f t="shared" si="4"/>
        <v>1127.1984013014408</v>
      </c>
      <c r="K317" s="2">
        <v>37.690624</v>
      </c>
      <c r="L317">
        <v>-6.8735499999999998</v>
      </c>
    </row>
    <row r="318" spans="1:12" ht="34.200000000000003" customHeight="1" thickBot="1" x14ac:dyDescent="0.35">
      <c r="A318" s="1">
        <v>2107901</v>
      </c>
      <c r="B318" s="2" t="s">
        <v>353</v>
      </c>
      <c r="C318" s="2">
        <v>1</v>
      </c>
      <c r="D318" s="2">
        <v>21210</v>
      </c>
      <c r="E318" s="9">
        <v>736</v>
      </c>
      <c r="F318" s="9">
        <v>15050</v>
      </c>
      <c r="G318" s="3">
        <v>14</v>
      </c>
      <c r="H318" s="3">
        <v>28.5</v>
      </c>
      <c r="I318" s="3">
        <v>2.2000000000000002</v>
      </c>
      <c r="J318" s="5">
        <f t="shared" si="4"/>
        <v>652.39598191799621</v>
      </c>
      <c r="K318" s="2">
        <v>37.823095000000002</v>
      </c>
      <c r="L318">
        <v>-6.3607839999999998</v>
      </c>
    </row>
    <row r="319" spans="1:12" ht="34.200000000000003" customHeight="1" thickBot="1" x14ac:dyDescent="0.35">
      <c r="A319" s="1">
        <v>4100101</v>
      </c>
      <c r="B319" s="2" t="s">
        <v>415</v>
      </c>
      <c r="C319" s="2">
        <v>1</v>
      </c>
      <c r="D319" s="2">
        <v>41550</v>
      </c>
      <c r="E319" s="9">
        <v>861</v>
      </c>
      <c r="F319" s="9">
        <v>15050</v>
      </c>
      <c r="G319" s="3">
        <v>18.899999999999999</v>
      </c>
      <c r="H319" s="3">
        <v>22.9</v>
      </c>
      <c r="I319" s="3">
        <v>2.2999999999999998</v>
      </c>
      <c r="J319" s="5">
        <f t="shared" si="4"/>
        <v>838.08709892227887</v>
      </c>
      <c r="K319" s="2">
        <v>37.252105</v>
      </c>
      <c r="L319">
        <v>-4.9971740000000002</v>
      </c>
    </row>
    <row r="320" spans="1:12" ht="34.200000000000003" customHeight="1" thickBot="1" x14ac:dyDescent="0.35">
      <c r="A320" s="1">
        <v>4100102</v>
      </c>
      <c r="B320" s="2" t="s">
        <v>415</v>
      </c>
      <c r="C320" s="2">
        <v>2</v>
      </c>
      <c r="D320" s="2">
        <v>41550</v>
      </c>
      <c r="E320" s="9">
        <v>1191</v>
      </c>
      <c r="F320" s="9">
        <v>13650</v>
      </c>
      <c r="G320" s="3">
        <v>19.7</v>
      </c>
      <c r="H320" s="3">
        <v>16.7</v>
      </c>
      <c r="I320" s="3">
        <v>2.5</v>
      </c>
      <c r="J320" s="5">
        <f t="shared" si="4"/>
        <v>1082.0661771349914</v>
      </c>
      <c r="K320" s="2">
        <v>37.249564999999997</v>
      </c>
      <c r="L320">
        <v>-4.977347</v>
      </c>
    </row>
    <row r="321" spans="1:12" ht="34.200000000000003" customHeight="1" thickBot="1" x14ac:dyDescent="0.35">
      <c r="A321" s="1">
        <v>4100201</v>
      </c>
      <c r="B321" s="2" t="s">
        <v>416</v>
      </c>
      <c r="C321" s="2">
        <v>1</v>
      </c>
      <c r="D321" s="2">
        <v>41380</v>
      </c>
      <c r="E321" s="9">
        <v>1657</v>
      </c>
      <c r="F321" s="9">
        <v>13650</v>
      </c>
      <c r="G321" s="3">
        <v>14.1</v>
      </c>
      <c r="H321" s="3">
        <v>22</v>
      </c>
      <c r="I321" s="3">
        <v>2.2000000000000002</v>
      </c>
      <c r="J321" s="5">
        <f t="shared" si="4"/>
        <v>1434.9793075388934</v>
      </c>
      <c r="K321" s="2">
        <v>38.044153000000001</v>
      </c>
      <c r="L321">
        <v>-5.623837</v>
      </c>
    </row>
    <row r="322" spans="1:12" ht="34.200000000000003" customHeight="1" thickBot="1" x14ac:dyDescent="0.35">
      <c r="A322" s="1">
        <v>4100301</v>
      </c>
      <c r="B322" s="2" t="s">
        <v>417</v>
      </c>
      <c r="C322" s="2">
        <v>1</v>
      </c>
      <c r="D322" s="2">
        <v>41805</v>
      </c>
      <c r="E322" s="9">
        <v>3227</v>
      </c>
      <c r="F322" s="9">
        <v>14350</v>
      </c>
      <c r="G322" s="3">
        <v>21.7</v>
      </c>
      <c r="H322" s="3">
        <v>12.3</v>
      </c>
      <c r="I322" s="3">
        <v>2.8</v>
      </c>
      <c r="J322" s="5">
        <f t="shared" si="4"/>
        <v>3093.3663847320463</v>
      </c>
      <c r="K322" s="2">
        <v>37.441462000000001</v>
      </c>
      <c r="L322">
        <v>-6.1789759999999996</v>
      </c>
    </row>
    <row r="323" spans="1:12" ht="34.200000000000003" customHeight="1" thickBot="1" x14ac:dyDescent="0.35">
      <c r="A323" s="1">
        <v>4100401</v>
      </c>
      <c r="B323" s="2" t="s">
        <v>418</v>
      </c>
      <c r="C323" s="2">
        <v>1</v>
      </c>
      <c r="D323" s="2">
        <v>41500</v>
      </c>
      <c r="E323" s="9">
        <v>3547</v>
      </c>
      <c r="F323" s="9">
        <v>17850</v>
      </c>
      <c r="G323" s="3">
        <v>18.100000000000001</v>
      </c>
      <c r="H323" s="3">
        <v>17.899999999999999</v>
      </c>
      <c r="I323" s="3">
        <v>2.6</v>
      </c>
      <c r="J323" s="5">
        <f t="shared" si="4"/>
        <v>4019.9684577678936</v>
      </c>
      <c r="K323" s="2">
        <v>37.329180000000001</v>
      </c>
      <c r="L323">
        <v>-5.8305400000000001</v>
      </c>
    </row>
    <row r="324" spans="1:12" ht="34.200000000000003" customHeight="1" thickBot="1" x14ac:dyDescent="0.35">
      <c r="A324" s="1">
        <v>4100402</v>
      </c>
      <c r="B324" s="2" t="s">
        <v>418</v>
      </c>
      <c r="C324" s="2">
        <v>2</v>
      </c>
      <c r="D324" s="2">
        <v>41500</v>
      </c>
      <c r="E324" s="9">
        <v>8372</v>
      </c>
      <c r="F324" s="9">
        <v>17150</v>
      </c>
      <c r="G324" s="3">
        <v>18.5</v>
      </c>
      <c r="H324" s="3">
        <v>15.9</v>
      </c>
      <c r="I324" s="3">
        <v>2.7</v>
      </c>
      <c r="J324" s="5">
        <f t="shared" si="4"/>
        <v>9160.1168077893544</v>
      </c>
      <c r="K324" s="2">
        <v>37.334136999999998</v>
      </c>
      <c r="L324">
        <v>-5.8529910000000003</v>
      </c>
    </row>
    <row r="325" spans="1:12" ht="34.200000000000003" customHeight="1" thickBot="1" x14ac:dyDescent="0.35">
      <c r="A325" s="1">
        <v>4100403</v>
      </c>
      <c r="B325" s="2" t="s">
        <v>418</v>
      </c>
      <c r="C325" s="2">
        <v>3</v>
      </c>
      <c r="D325" s="2">
        <v>41500</v>
      </c>
      <c r="E325" s="9">
        <v>13939</v>
      </c>
      <c r="F325" s="9">
        <v>16450</v>
      </c>
      <c r="G325" s="3">
        <v>17.399999999999999</v>
      </c>
      <c r="H325" s="3">
        <v>21.1</v>
      </c>
      <c r="I325" s="3">
        <v>2.6</v>
      </c>
      <c r="J325" s="5">
        <f t="shared" si="4"/>
        <v>13991.98472987781</v>
      </c>
      <c r="K325" s="2">
        <v>37.338918</v>
      </c>
      <c r="L325">
        <v>-5.840973</v>
      </c>
    </row>
    <row r="326" spans="1:12" ht="34.200000000000003" customHeight="1" thickBot="1" x14ac:dyDescent="0.35">
      <c r="A326" s="1">
        <v>4100404</v>
      </c>
      <c r="B326" s="2" t="s">
        <v>418</v>
      </c>
      <c r="C326" s="2">
        <v>4</v>
      </c>
      <c r="D326" s="2">
        <v>41500</v>
      </c>
      <c r="E326" s="9">
        <v>50187</v>
      </c>
      <c r="F326" s="9">
        <v>16450</v>
      </c>
      <c r="G326" s="3">
        <v>21</v>
      </c>
      <c r="H326" s="3">
        <v>14.4</v>
      </c>
      <c r="I326" s="3">
        <v>2.8</v>
      </c>
      <c r="J326" s="5">
        <f t="shared" si="4"/>
        <v>53737.507182929425</v>
      </c>
      <c r="K326" s="2">
        <v>37.337699000000001</v>
      </c>
      <c r="L326">
        <v>-5.8374949999999997</v>
      </c>
    </row>
    <row r="327" spans="1:12" ht="34.200000000000003" customHeight="1" thickBot="1" x14ac:dyDescent="0.35">
      <c r="A327" s="1">
        <v>4100501</v>
      </c>
      <c r="B327" s="2" t="s">
        <v>419</v>
      </c>
      <c r="C327" s="2">
        <v>1</v>
      </c>
      <c r="D327" s="2">
        <v>41200</v>
      </c>
      <c r="E327" s="9">
        <v>1975</v>
      </c>
      <c r="F327" s="9">
        <v>18550</v>
      </c>
      <c r="G327" s="3">
        <v>15.8</v>
      </c>
      <c r="H327" s="3">
        <v>25.4</v>
      </c>
      <c r="I327" s="3">
        <v>2.4</v>
      </c>
      <c r="J327" s="5">
        <f t="shared" si="4"/>
        <v>2184.3187439096205</v>
      </c>
      <c r="K327" s="2">
        <v>37.521763999999997</v>
      </c>
      <c r="L327">
        <v>-5.9773059999999996</v>
      </c>
    </row>
    <row r="328" spans="1:12" ht="34.200000000000003" customHeight="1" thickBot="1" x14ac:dyDescent="0.35">
      <c r="A328" s="1">
        <v>4100502</v>
      </c>
      <c r="B328" s="2" t="s">
        <v>419</v>
      </c>
      <c r="C328" s="2">
        <v>2</v>
      </c>
      <c r="D328" s="2">
        <v>41209</v>
      </c>
      <c r="E328" s="9">
        <v>10307</v>
      </c>
      <c r="F328" s="9">
        <v>15050</v>
      </c>
      <c r="G328" s="3">
        <v>21.9</v>
      </c>
      <c r="H328" s="3">
        <v>14</v>
      </c>
      <c r="I328" s="3">
        <v>2.7</v>
      </c>
      <c r="J328" s="5">
        <f t="shared" ref="J328:J391" si="5">E328*(F328/$H$1)*(1+(G328/100)-(H328/100))*($H$2/I328)^0.5</f>
        <v>10407.598445435508</v>
      </c>
      <c r="K328" s="2">
        <v>37.517091999999998</v>
      </c>
      <c r="L328">
        <v>-5.9832369999999999</v>
      </c>
    </row>
    <row r="329" spans="1:12" ht="34.200000000000003" customHeight="1" thickBot="1" x14ac:dyDescent="0.35">
      <c r="A329" s="1">
        <v>4100601</v>
      </c>
      <c r="B329" s="2" t="s">
        <v>420</v>
      </c>
      <c r="C329" s="2">
        <v>1</v>
      </c>
      <c r="D329" s="2">
        <v>41449</v>
      </c>
      <c r="E329" s="9">
        <v>1488</v>
      </c>
      <c r="F329" s="9">
        <v>14350</v>
      </c>
      <c r="G329" s="3">
        <v>16.899999999999999</v>
      </c>
      <c r="H329" s="3">
        <v>18.600000000000001</v>
      </c>
      <c r="I329" s="3">
        <v>2.6</v>
      </c>
      <c r="J329" s="5">
        <f t="shared" si="5"/>
        <v>1330.0374362255111</v>
      </c>
      <c r="K329" s="2">
        <v>37.615079999999999</v>
      </c>
      <c r="L329">
        <v>-5.6645209999999997</v>
      </c>
    </row>
    <row r="330" spans="1:12" ht="34.200000000000003" customHeight="1" thickBot="1" x14ac:dyDescent="0.35">
      <c r="A330" s="1">
        <v>4100602</v>
      </c>
      <c r="B330" s="2" t="s">
        <v>420</v>
      </c>
      <c r="C330" s="2">
        <v>2</v>
      </c>
      <c r="D330" s="2">
        <v>41449</v>
      </c>
      <c r="E330" s="9">
        <v>1795</v>
      </c>
      <c r="F330" s="9">
        <v>12950</v>
      </c>
      <c r="G330" s="3">
        <v>19</v>
      </c>
      <c r="H330" s="3">
        <v>18.2</v>
      </c>
      <c r="I330" s="3">
        <v>2.6</v>
      </c>
      <c r="J330" s="5">
        <f t="shared" si="5"/>
        <v>1484.7395198030272</v>
      </c>
      <c r="K330" s="2">
        <v>37.617798999999998</v>
      </c>
      <c r="L330">
        <v>-5.6689699999999998</v>
      </c>
    </row>
    <row r="331" spans="1:12" ht="34.200000000000003" customHeight="1" thickBot="1" x14ac:dyDescent="0.35">
      <c r="A331" s="1">
        <v>4100701</v>
      </c>
      <c r="B331" s="2" t="s">
        <v>619</v>
      </c>
      <c r="C331" s="2">
        <v>1</v>
      </c>
      <c r="D331" s="2">
        <v>41980</v>
      </c>
      <c r="E331" s="9">
        <v>4688</v>
      </c>
      <c r="F331" s="9">
        <v>15750</v>
      </c>
      <c r="G331" s="3">
        <v>18.3</v>
      </c>
      <c r="H331" s="3">
        <v>18.600000000000001</v>
      </c>
      <c r="I331" s="3">
        <v>2.6</v>
      </c>
      <c r="J331" s="5">
        <f t="shared" si="5"/>
        <v>4664.6475437388308</v>
      </c>
      <c r="K331" s="2">
        <v>37.462276000000003</v>
      </c>
      <c r="L331">
        <v>-6.0151890000000003</v>
      </c>
    </row>
    <row r="332" spans="1:12" ht="34.200000000000003" customHeight="1" thickBot="1" x14ac:dyDescent="0.35">
      <c r="A332" s="1">
        <v>4100702</v>
      </c>
      <c r="B332" s="2" t="s">
        <v>619</v>
      </c>
      <c r="C332" s="2">
        <v>2</v>
      </c>
      <c r="D332" s="2">
        <v>41980</v>
      </c>
      <c r="E332" s="9">
        <v>11992</v>
      </c>
      <c r="F332" s="9">
        <v>15750</v>
      </c>
      <c r="G332" s="3">
        <v>21.6</v>
      </c>
      <c r="H332" s="3">
        <v>14.3</v>
      </c>
      <c r="I332" s="3">
        <v>2.8</v>
      </c>
      <c r="J332" s="5">
        <f t="shared" si="5"/>
        <v>12374.711230056808</v>
      </c>
      <c r="K332" s="2">
        <v>37.459479000000002</v>
      </c>
      <c r="L332">
        <v>-6.0181339999999999</v>
      </c>
    </row>
    <row r="333" spans="1:12" ht="34.200000000000003" customHeight="1" thickBot="1" x14ac:dyDescent="0.35">
      <c r="A333" s="1">
        <v>4100801</v>
      </c>
      <c r="B333" s="2" t="s">
        <v>421</v>
      </c>
      <c r="C333" s="2">
        <v>1</v>
      </c>
      <c r="D333" s="2">
        <v>41661</v>
      </c>
      <c r="E333" s="9">
        <v>1231</v>
      </c>
      <c r="F333" s="9">
        <v>14350</v>
      </c>
      <c r="G333" s="3">
        <v>16.3</v>
      </c>
      <c r="H333" s="3">
        <v>20</v>
      </c>
      <c r="I333" s="3">
        <v>2.2999999999999998</v>
      </c>
      <c r="J333" s="5">
        <f t="shared" si="5"/>
        <v>1146.0788871339889</v>
      </c>
      <c r="K333" s="2">
        <v>37.017775999999998</v>
      </c>
      <c r="L333">
        <v>-5.155843</v>
      </c>
    </row>
    <row r="334" spans="1:12" ht="34.200000000000003" customHeight="1" thickBot="1" x14ac:dyDescent="0.35">
      <c r="A334" s="1">
        <v>4100901</v>
      </c>
      <c r="B334" s="2" t="s">
        <v>422</v>
      </c>
      <c r="C334" s="2">
        <v>1</v>
      </c>
      <c r="D334" s="2">
        <v>41240</v>
      </c>
      <c r="E334" s="9">
        <v>1293</v>
      </c>
      <c r="F334" s="9">
        <v>15050</v>
      </c>
      <c r="G334" s="3">
        <v>12.1</v>
      </c>
      <c r="H334" s="3">
        <v>25.8</v>
      </c>
      <c r="I334" s="3">
        <v>2.2000000000000002</v>
      </c>
      <c r="J334" s="5">
        <f t="shared" si="5"/>
        <v>1156.8489829440523</v>
      </c>
      <c r="K334" s="2">
        <v>37.873502000000002</v>
      </c>
      <c r="L334">
        <v>-6.084454</v>
      </c>
    </row>
    <row r="335" spans="1:12" ht="34.200000000000003" customHeight="1" thickBot="1" x14ac:dyDescent="0.35">
      <c r="A335" s="1">
        <v>4101001</v>
      </c>
      <c r="B335" s="2" t="s">
        <v>423</v>
      </c>
      <c r="C335" s="2">
        <v>1</v>
      </c>
      <c r="D335" s="2">
        <v>41111</v>
      </c>
      <c r="E335" s="9">
        <v>6667</v>
      </c>
      <c r="F335" s="9">
        <v>17150</v>
      </c>
      <c r="G335" s="3">
        <v>21.5</v>
      </c>
      <c r="H335" s="3">
        <v>12.8</v>
      </c>
      <c r="I335" s="3">
        <v>2.7</v>
      </c>
      <c r="J335" s="5">
        <f t="shared" si="5"/>
        <v>7728.308153028067</v>
      </c>
      <c r="K335" s="2">
        <v>37.310169000000002</v>
      </c>
      <c r="L335">
        <v>-6.1273350000000004</v>
      </c>
    </row>
    <row r="336" spans="1:12" ht="34.200000000000003" customHeight="1" thickBot="1" x14ac:dyDescent="0.35">
      <c r="A336" s="1">
        <v>4101101</v>
      </c>
      <c r="B336" s="2" t="s">
        <v>424</v>
      </c>
      <c r="C336" s="2">
        <v>1</v>
      </c>
      <c r="D336" s="2">
        <v>41600</v>
      </c>
      <c r="E336" s="9">
        <v>5663</v>
      </c>
      <c r="F336" s="9">
        <v>15750</v>
      </c>
      <c r="G336" s="3">
        <v>18.399999999999999</v>
      </c>
      <c r="H336" s="3">
        <v>18.8</v>
      </c>
      <c r="I336" s="3">
        <v>2.8</v>
      </c>
      <c r="J336" s="5">
        <f t="shared" si="5"/>
        <v>5424.374073009566</v>
      </c>
      <c r="K336" s="2">
        <v>37.258493999999999</v>
      </c>
      <c r="L336">
        <v>-5.5470389999999998</v>
      </c>
    </row>
    <row r="337" spans="1:12" ht="34.200000000000003" customHeight="1" thickBot="1" x14ac:dyDescent="0.35">
      <c r="A337" s="1">
        <v>4101102</v>
      </c>
      <c r="B337" s="2" t="s">
        <v>424</v>
      </c>
      <c r="C337" s="2">
        <v>2</v>
      </c>
      <c r="D337" s="2">
        <v>41600</v>
      </c>
      <c r="E337" s="9">
        <v>3582</v>
      </c>
      <c r="F337" s="9">
        <v>16450</v>
      </c>
      <c r="G337" s="3">
        <v>17.899999999999999</v>
      </c>
      <c r="H337" s="3">
        <v>21.6</v>
      </c>
      <c r="I337" s="3">
        <v>2.8</v>
      </c>
      <c r="J337" s="5">
        <f t="shared" si="5"/>
        <v>3464.8221272005708</v>
      </c>
      <c r="K337" s="2">
        <v>37.263170000000002</v>
      </c>
      <c r="L337">
        <v>-5.54026</v>
      </c>
    </row>
    <row r="338" spans="1:12" ht="34.200000000000003" customHeight="1" thickBot="1" x14ac:dyDescent="0.35">
      <c r="A338" s="1">
        <v>4101103</v>
      </c>
      <c r="B338" s="2" t="s">
        <v>424</v>
      </c>
      <c r="C338" s="2">
        <v>3</v>
      </c>
      <c r="D338" s="2">
        <v>41600</v>
      </c>
      <c r="E338" s="9">
        <v>4936</v>
      </c>
      <c r="F338" s="9">
        <v>15750</v>
      </c>
      <c r="G338" s="3">
        <v>21.9</v>
      </c>
      <c r="H338" s="3">
        <v>15</v>
      </c>
      <c r="I338" s="3">
        <v>3</v>
      </c>
      <c r="J338" s="5">
        <f t="shared" si="5"/>
        <v>4902.4703527252759</v>
      </c>
      <c r="K338" s="2">
        <v>37.267805000000003</v>
      </c>
      <c r="L338">
        <v>-5.5505259999999996</v>
      </c>
    </row>
    <row r="339" spans="1:12" ht="34.200000000000003" customHeight="1" thickBot="1" x14ac:dyDescent="0.35">
      <c r="A339" s="1">
        <v>4101104</v>
      </c>
      <c r="B339" s="2" t="s">
        <v>424</v>
      </c>
      <c r="C339" s="2">
        <v>4</v>
      </c>
      <c r="D339" s="2">
        <v>41600</v>
      </c>
      <c r="E339" s="9">
        <v>4958</v>
      </c>
      <c r="F339" s="9">
        <v>15050</v>
      </c>
      <c r="G339" s="3">
        <v>19.5</v>
      </c>
      <c r="H339" s="3">
        <v>16.2</v>
      </c>
      <c r="I339" s="3">
        <v>2.8</v>
      </c>
      <c r="J339" s="5">
        <f t="shared" si="5"/>
        <v>4706.5916197731894</v>
      </c>
      <c r="K339" s="2">
        <v>37.191195</v>
      </c>
      <c r="L339">
        <v>-5.6028250000000002</v>
      </c>
    </row>
    <row r="340" spans="1:12" ht="34.200000000000003" customHeight="1" thickBot="1" x14ac:dyDescent="0.35">
      <c r="A340" s="1">
        <v>4101201</v>
      </c>
      <c r="B340" s="2" t="s">
        <v>425</v>
      </c>
      <c r="C340" s="2">
        <v>1</v>
      </c>
      <c r="D340" s="2">
        <v>41849</v>
      </c>
      <c r="E340" s="9">
        <v>4835</v>
      </c>
      <c r="F340" s="9">
        <v>14350</v>
      </c>
      <c r="G340" s="3">
        <v>20.399999999999999</v>
      </c>
      <c r="H340" s="3">
        <v>16.100000000000001</v>
      </c>
      <c r="I340" s="3">
        <v>2.6</v>
      </c>
      <c r="J340" s="5">
        <f t="shared" si="5"/>
        <v>4585.5158920251888</v>
      </c>
      <c r="K340" s="2">
        <v>37.313628999999999</v>
      </c>
      <c r="L340">
        <v>-6.255109</v>
      </c>
    </row>
    <row r="341" spans="1:12" ht="34.200000000000003" customHeight="1" thickBot="1" x14ac:dyDescent="0.35">
      <c r="A341" s="1">
        <v>4101301</v>
      </c>
      <c r="B341" s="2" t="s">
        <v>426</v>
      </c>
      <c r="C341" s="2">
        <v>1</v>
      </c>
      <c r="D341" s="2">
        <v>41870</v>
      </c>
      <c r="E341" s="9">
        <v>2477</v>
      </c>
      <c r="F341" s="9">
        <v>15050</v>
      </c>
      <c r="G341" s="3">
        <v>17.399999999999999</v>
      </c>
      <c r="H341" s="3">
        <v>19.5</v>
      </c>
      <c r="I341" s="3">
        <v>2.5</v>
      </c>
      <c r="J341" s="5">
        <f t="shared" si="5"/>
        <v>2358.3995481499114</v>
      </c>
      <c r="K341" s="2">
        <v>37.523308</v>
      </c>
      <c r="L341">
        <v>-6.2676610000000004</v>
      </c>
    </row>
    <row r="342" spans="1:12" ht="34.200000000000003" customHeight="1" thickBot="1" x14ac:dyDescent="0.35">
      <c r="A342" s="1">
        <v>4101302</v>
      </c>
      <c r="B342" s="2" t="s">
        <v>426</v>
      </c>
      <c r="C342" s="2">
        <v>2</v>
      </c>
      <c r="D342" s="2">
        <v>41870</v>
      </c>
      <c r="E342" s="9">
        <v>3621</v>
      </c>
      <c r="F342" s="9">
        <v>15050</v>
      </c>
      <c r="G342" s="3">
        <v>19.100000000000001</v>
      </c>
      <c r="H342" s="3">
        <v>16.7</v>
      </c>
      <c r="I342" s="3">
        <v>2.7</v>
      </c>
      <c r="J342" s="5">
        <f t="shared" si="5"/>
        <v>3469.9665501921509</v>
      </c>
      <c r="K342" s="2">
        <v>37.516921000000004</v>
      </c>
      <c r="L342">
        <v>-6.2635160000000001</v>
      </c>
    </row>
    <row r="343" spans="1:12" ht="34.200000000000003" customHeight="1" thickBot="1" x14ac:dyDescent="0.35">
      <c r="A343" s="1">
        <v>4101401</v>
      </c>
      <c r="B343" s="2" t="s">
        <v>427</v>
      </c>
      <c r="C343" s="2">
        <v>1</v>
      </c>
      <c r="D343" s="2">
        <v>41570</v>
      </c>
      <c r="E343" s="9">
        <v>3076</v>
      </c>
      <c r="F343" s="9">
        <v>12950</v>
      </c>
      <c r="G343" s="3">
        <v>18</v>
      </c>
      <c r="H343" s="3">
        <v>16.2</v>
      </c>
      <c r="I343" s="3">
        <v>2.5</v>
      </c>
      <c r="J343" s="5">
        <f t="shared" si="5"/>
        <v>2620.4511145771785</v>
      </c>
      <c r="K343" s="2">
        <v>37.298859999999998</v>
      </c>
      <c r="L343">
        <v>-4.6951679999999998</v>
      </c>
    </row>
    <row r="344" spans="1:12" ht="34.200000000000003" customHeight="1" thickBot="1" x14ac:dyDescent="0.35">
      <c r="A344" s="1">
        <v>4101501</v>
      </c>
      <c r="B344" s="2" t="s">
        <v>428</v>
      </c>
      <c r="C344" s="2">
        <v>1</v>
      </c>
      <c r="D344" s="2">
        <v>41805</v>
      </c>
      <c r="E344" s="9">
        <v>2577</v>
      </c>
      <c r="F344" s="9">
        <v>15050</v>
      </c>
      <c r="G344" s="3">
        <v>20.100000000000001</v>
      </c>
      <c r="H344" s="3">
        <v>17.8</v>
      </c>
      <c r="I344" s="3">
        <v>2.7</v>
      </c>
      <c r="J344" s="5">
        <f t="shared" si="5"/>
        <v>2467.1006011055338</v>
      </c>
      <c r="K344" s="2">
        <v>37.336137000000001</v>
      </c>
      <c r="L344">
        <v>-6.2144250000000003</v>
      </c>
    </row>
    <row r="345" spans="1:12" ht="34.200000000000003" customHeight="1" thickBot="1" x14ac:dyDescent="0.35">
      <c r="A345" s="1">
        <v>4101502</v>
      </c>
      <c r="B345" s="2" t="s">
        <v>428</v>
      </c>
      <c r="C345" s="2">
        <v>2</v>
      </c>
      <c r="D345" s="2">
        <v>41805</v>
      </c>
      <c r="E345" s="9">
        <v>4770</v>
      </c>
      <c r="F345" s="9">
        <v>14350</v>
      </c>
      <c r="G345" s="3">
        <v>23.6</v>
      </c>
      <c r="H345" s="3">
        <v>12.6</v>
      </c>
      <c r="I345" s="3">
        <v>2.8</v>
      </c>
      <c r="J345" s="5">
        <f t="shared" si="5"/>
        <v>4639.3424644441311</v>
      </c>
      <c r="K345" s="2">
        <v>37.350212999999997</v>
      </c>
      <c r="L345">
        <v>-6.195462</v>
      </c>
    </row>
    <row r="346" spans="1:12" ht="34.200000000000003" customHeight="1" thickBot="1" x14ac:dyDescent="0.35">
      <c r="A346" s="1">
        <v>4101601</v>
      </c>
      <c r="B346" s="2" t="s">
        <v>429</v>
      </c>
      <c r="C346" s="2">
        <v>1</v>
      </c>
      <c r="D346" s="2">
        <v>41110</v>
      </c>
      <c r="E346" s="9">
        <v>6589</v>
      </c>
      <c r="F346" s="9">
        <v>17150</v>
      </c>
      <c r="G346" s="3">
        <v>22.6</v>
      </c>
      <c r="H346" s="3">
        <v>12.7</v>
      </c>
      <c r="I346" s="3">
        <v>2.9</v>
      </c>
      <c r="J346" s="5">
        <f t="shared" si="5"/>
        <v>7451.1707267560005</v>
      </c>
      <c r="K346" s="2">
        <v>37.341895000000001</v>
      </c>
      <c r="L346">
        <v>-6.1471289999999996</v>
      </c>
    </row>
    <row r="347" spans="1:12" ht="34.200000000000003" customHeight="1" thickBot="1" x14ac:dyDescent="0.35">
      <c r="A347" s="1">
        <v>4101602</v>
      </c>
      <c r="B347" s="2" t="s">
        <v>429</v>
      </c>
      <c r="C347" s="2">
        <v>2</v>
      </c>
      <c r="D347" s="2">
        <v>41110</v>
      </c>
      <c r="E347" s="9">
        <v>4546</v>
      </c>
      <c r="F347" s="9">
        <v>17850</v>
      </c>
      <c r="G347" s="3">
        <v>22</v>
      </c>
      <c r="H347" s="3">
        <v>12.7</v>
      </c>
      <c r="I347" s="3">
        <v>3</v>
      </c>
      <c r="J347" s="5">
        <f t="shared" si="5"/>
        <v>5232.0197585237102</v>
      </c>
      <c r="K347" s="2">
        <v>37.343969999999999</v>
      </c>
      <c r="L347">
        <v>-6.1349549999999997</v>
      </c>
    </row>
    <row r="348" spans="1:12" ht="34.200000000000003" customHeight="1" thickBot="1" x14ac:dyDescent="0.35">
      <c r="A348" s="1">
        <v>4101701</v>
      </c>
      <c r="B348" s="2" t="s">
        <v>430</v>
      </c>
      <c r="C348" s="2">
        <v>1</v>
      </c>
      <c r="D348" s="2">
        <v>41930</v>
      </c>
      <c r="E348" s="9">
        <v>22910</v>
      </c>
      <c r="F348" s="9">
        <v>19250</v>
      </c>
      <c r="G348" s="3">
        <v>22.4</v>
      </c>
      <c r="H348" s="3">
        <v>11.1</v>
      </c>
      <c r="I348" s="3">
        <v>2.9</v>
      </c>
      <c r="J348" s="5">
        <f t="shared" si="5"/>
        <v>29450.602052694114</v>
      </c>
      <c r="K348" s="2">
        <v>37.372357000000001</v>
      </c>
      <c r="L348">
        <v>-6.0686780000000002</v>
      </c>
    </row>
    <row r="349" spans="1:12" ht="34.200000000000003" customHeight="1" thickBot="1" x14ac:dyDescent="0.35">
      <c r="A349" s="1">
        <v>4101801</v>
      </c>
      <c r="B349" s="2" t="s">
        <v>431</v>
      </c>
      <c r="C349" s="2">
        <v>1</v>
      </c>
      <c r="D349" s="2">
        <v>41310</v>
      </c>
      <c r="E349" s="9">
        <v>12815</v>
      </c>
      <c r="F349" s="9">
        <v>15050</v>
      </c>
      <c r="G349" s="3">
        <v>18.899999999999999</v>
      </c>
      <c r="H349" s="3">
        <v>16</v>
      </c>
      <c r="I349" s="3">
        <v>2.7</v>
      </c>
      <c r="J349" s="5">
        <f t="shared" si="5"/>
        <v>12340.444186147504</v>
      </c>
      <c r="K349" s="2">
        <v>37.550109999999997</v>
      </c>
      <c r="L349">
        <v>-5.8763379999999996</v>
      </c>
    </row>
    <row r="350" spans="1:12" ht="34.200000000000003" customHeight="1" thickBot="1" x14ac:dyDescent="0.35">
      <c r="A350" s="1">
        <v>4101901</v>
      </c>
      <c r="B350" s="2" t="s">
        <v>432</v>
      </c>
      <c r="C350" s="2">
        <v>1</v>
      </c>
      <c r="D350" s="2">
        <v>41209</v>
      </c>
      <c r="E350" s="9">
        <v>7314</v>
      </c>
      <c r="F350" s="9">
        <v>13650</v>
      </c>
      <c r="G350" s="3">
        <v>21.8</v>
      </c>
      <c r="H350" s="3">
        <v>12</v>
      </c>
      <c r="I350" s="3">
        <v>2.8</v>
      </c>
      <c r="J350" s="5">
        <f t="shared" si="5"/>
        <v>6693.497735714951</v>
      </c>
      <c r="K350" s="2">
        <v>37.601502000000004</v>
      </c>
      <c r="L350">
        <v>-5.9584349999999997</v>
      </c>
    </row>
    <row r="351" spans="1:12" ht="34.200000000000003" customHeight="1" thickBot="1" x14ac:dyDescent="0.35">
      <c r="A351" s="1">
        <v>4102001</v>
      </c>
      <c r="B351" s="2" t="s">
        <v>620</v>
      </c>
      <c r="C351" s="2">
        <v>1</v>
      </c>
      <c r="D351" s="2">
        <v>41730</v>
      </c>
      <c r="E351" s="9">
        <v>5133</v>
      </c>
      <c r="F351" s="9">
        <v>13650</v>
      </c>
      <c r="G351" s="3">
        <v>16.5</v>
      </c>
      <c r="H351" s="3">
        <v>17.399999999999999</v>
      </c>
      <c r="I351" s="3">
        <v>2.8</v>
      </c>
      <c r="J351" s="5">
        <f t="shared" si="5"/>
        <v>4239.7548283686838</v>
      </c>
      <c r="K351" s="2">
        <v>36.979393000000002</v>
      </c>
      <c r="L351">
        <v>-5.9439149999999996</v>
      </c>
    </row>
    <row r="352" spans="1:12" ht="34.200000000000003" customHeight="1" thickBot="1" x14ac:dyDescent="0.35">
      <c r="A352" s="1">
        <v>4102002</v>
      </c>
      <c r="B352" s="2" t="s">
        <v>620</v>
      </c>
      <c r="C352" s="2">
        <v>2</v>
      </c>
      <c r="D352" s="2">
        <v>41730</v>
      </c>
      <c r="E352" s="9">
        <v>11200</v>
      </c>
      <c r="F352" s="9">
        <v>14350</v>
      </c>
      <c r="G352" s="3">
        <v>19</v>
      </c>
      <c r="H352" s="3">
        <v>15.5</v>
      </c>
      <c r="I352" s="3">
        <v>2.8</v>
      </c>
      <c r="J352" s="5">
        <f t="shared" si="5"/>
        <v>10157.186969580216</v>
      </c>
      <c r="K352" s="2">
        <v>36.989319999999999</v>
      </c>
      <c r="L352">
        <v>-5.9348580000000002</v>
      </c>
    </row>
    <row r="353" spans="1:12" ht="34.200000000000003" customHeight="1" thickBot="1" x14ac:dyDescent="0.35">
      <c r="A353" s="1">
        <v>4102101</v>
      </c>
      <c r="B353" s="2" t="s">
        <v>433</v>
      </c>
      <c r="C353" s="2">
        <v>1</v>
      </c>
      <c r="D353" s="2">
        <v>41900</v>
      </c>
      <c r="E353" s="9">
        <v>9813</v>
      </c>
      <c r="F353" s="9">
        <v>15750</v>
      </c>
      <c r="G353" s="3">
        <v>17.3</v>
      </c>
      <c r="H353" s="3">
        <v>19.899999999999999</v>
      </c>
      <c r="I353" s="3">
        <v>2.5</v>
      </c>
      <c r="J353" s="5">
        <f t="shared" si="5"/>
        <v>9727.7745863993059</v>
      </c>
      <c r="K353" s="2">
        <v>37.402329999999999</v>
      </c>
      <c r="L353">
        <v>-6.0327650000000004</v>
      </c>
    </row>
    <row r="354" spans="1:12" ht="34.200000000000003" customHeight="1" thickBot="1" x14ac:dyDescent="0.35">
      <c r="A354" s="1">
        <v>4102102</v>
      </c>
      <c r="B354" s="2" t="s">
        <v>433</v>
      </c>
      <c r="C354" s="2">
        <v>2</v>
      </c>
      <c r="D354" s="2">
        <v>41900</v>
      </c>
      <c r="E354" s="9">
        <v>13249</v>
      </c>
      <c r="F354" s="9">
        <v>15050</v>
      </c>
      <c r="G354" s="3">
        <v>18.7</v>
      </c>
      <c r="H354" s="3">
        <v>16.899999999999999</v>
      </c>
      <c r="I354" s="3">
        <v>2.5</v>
      </c>
      <c r="J354" s="5">
        <f t="shared" si="5"/>
        <v>13117.152348894848</v>
      </c>
      <c r="K354" s="2">
        <v>37.399748000000002</v>
      </c>
      <c r="L354">
        <v>-6.0341670000000001</v>
      </c>
    </row>
    <row r="355" spans="1:12" ht="34.200000000000003" customHeight="1" thickBot="1" x14ac:dyDescent="0.35">
      <c r="A355" s="1">
        <v>4102103</v>
      </c>
      <c r="B355" s="2" t="s">
        <v>433</v>
      </c>
      <c r="C355" s="2">
        <v>3</v>
      </c>
      <c r="D355" s="2">
        <v>41900</v>
      </c>
      <c r="E355" s="9">
        <v>3287</v>
      </c>
      <c r="F355" s="9">
        <v>14350</v>
      </c>
      <c r="G355" s="3">
        <v>18.3</v>
      </c>
      <c r="H355" s="3">
        <v>13.2</v>
      </c>
      <c r="I355" s="3">
        <v>2.5</v>
      </c>
      <c r="J355" s="5">
        <f t="shared" si="5"/>
        <v>3203.5131114915876</v>
      </c>
      <c r="K355" s="2">
        <v>37.386907999999998</v>
      </c>
      <c r="L355">
        <v>-6.0307069999999996</v>
      </c>
    </row>
    <row r="356" spans="1:12" ht="34.200000000000003" customHeight="1" thickBot="1" x14ac:dyDescent="0.35">
      <c r="A356" s="1">
        <v>4102104</v>
      </c>
      <c r="B356" s="2" t="s">
        <v>433</v>
      </c>
      <c r="C356" s="2">
        <v>4</v>
      </c>
      <c r="D356" s="2">
        <v>41900</v>
      </c>
      <c r="E356" s="9">
        <v>2283</v>
      </c>
      <c r="F356" s="9">
        <v>18550</v>
      </c>
      <c r="G356" s="3">
        <v>16.100000000000001</v>
      </c>
      <c r="H356" s="3">
        <v>24.7</v>
      </c>
      <c r="I356" s="3">
        <v>2.6</v>
      </c>
      <c r="J356" s="5">
        <f t="shared" si="5"/>
        <v>2452.7401267340001</v>
      </c>
      <c r="K356" s="2">
        <v>37.382748999999997</v>
      </c>
      <c r="L356">
        <v>-6.0373479999999997</v>
      </c>
    </row>
    <row r="357" spans="1:12" ht="34.200000000000003" customHeight="1" thickBot="1" x14ac:dyDescent="0.35">
      <c r="A357" s="1">
        <v>4102201</v>
      </c>
      <c r="B357" s="2" t="s">
        <v>621</v>
      </c>
      <c r="C357" s="2">
        <v>1</v>
      </c>
      <c r="D357" s="2">
        <v>41429</v>
      </c>
      <c r="E357" s="9">
        <v>2206</v>
      </c>
      <c r="F357" s="9">
        <v>14350</v>
      </c>
      <c r="G357" s="3">
        <v>13.6</v>
      </c>
      <c r="H357" s="3">
        <v>25.1</v>
      </c>
      <c r="I357" s="3">
        <v>2.5</v>
      </c>
      <c r="J357" s="5">
        <f t="shared" si="5"/>
        <v>1810.3930116814417</v>
      </c>
      <c r="K357" s="2">
        <v>37.572667000000003</v>
      </c>
      <c r="L357">
        <v>-5.4303720000000002</v>
      </c>
    </row>
    <row r="358" spans="1:12" ht="34.200000000000003" customHeight="1" thickBot="1" x14ac:dyDescent="0.35">
      <c r="A358" s="1">
        <v>4102202</v>
      </c>
      <c r="B358" s="2" t="s">
        <v>621</v>
      </c>
      <c r="C358" s="2">
        <v>2</v>
      </c>
      <c r="D358" s="2">
        <v>41429</v>
      </c>
      <c r="E358" s="9">
        <v>2891</v>
      </c>
      <c r="F358" s="9">
        <v>14350</v>
      </c>
      <c r="G358" s="3">
        <v>18.5</v>
      </c>
      <c r="H358" s="3">
        <v>16.399999999999999</v>
      </c>
      <c r="I358" s="3">
        <v>2.8</v>
      </c>
      <c r="J358" s="5">
        <f t="shared" si="5"/>
        <v>2586.3596020675118</v>
      </c>
      <c r="K358" s="2">
        <v>37.567486000000002</v>
      </c>
      <c r="L358">
        <v>-5.4265610000000004</v>
      </c>
    </row>
    <row r="359" spans="1:12" ht="34.200000000000003" customHeight="1" thickBot="1" x14ac:dyDescent="0.35">
      <c r="A359" s="1">
        <v>4102301</v>
      </c>
      <c r="B359" s="2" t="s">
        <v>434</v>
      </c>
      <c r="C359" s="2">
        <v>1</v>
      </c>
      <c r="D359" s="2">
        <v>41320</v>
      </c>
      <c r="E359" s="9">
        <v>5253</v>
      </c>
      <c r="F359" s="9">
        <v>15050</v>
      </c>
      <c r="G359" s="3">
        <v>19</v>
      </c>
      <c r="H359" s="3">
        <v>17.2</v>
      </c>
      <c r="I359" s="3">
        <v>2.7</v>
      </c>
      <c r="J359" s="5">
        <f t="shared" si="5"/>
        <v>5004.3996568806087</v>
      </c>
      <c r="K359" s="2">
        <v>37.607061000000002</v>
      </c>
      <c r="L359">
        <v>-5.8278489999999996</v>
      </c>
    </row>
    <row r="360" spans="1:12" ht="34.200000000000003" customHeight="1" thickBot="1" x14ac:dyDescent="0.35">
      <c r="A360" s="1">
        <v>4102302</v>
      </c>
      <c r="B360" s="2" t="s">
        <v>434</v>
      </c>
      <c r="C360" s="2">
        <v>2</v>
      </c>
      <c r="D360" s="2">
        <v>41320</v>
      </c>
      <c r="E360" s="9">
        <v>5333</v>
      </c>
      <c r="F360" s="9">
        <v>13650</v>
      </c>
      <c r="G360" s="3">
        <v>19</v>
      </c>
      <c r="H360" s="3">
        <v>15.8</v>
      </c>
      <c r="I360" s="3">
        <v>2.6</v>
      </c>
      <c r="J360" s="5">
        <f t="shared" si="5"/>
        <v>4760.3561644230931</v>
      </c>
      <c r="K360" s="2">
        <v>37.623345999999998</v>
      </c>
      <c r="L360">
        <v>-5.8173890000000004</v>
      </c>
    </row>
    <row r="361" spans="1:12" ht="34.200000000000003" customHeight="1" thickBot="1" x14ac:dyDescent="0.35">
      <c r="A361" s="1">
        <v>4190101</v>
      </c>
      <c r="B361" s="2" t="s">
        <v>435</v>
      </c>
      <c r="C361" s="2">
        <v>1</v>
      </c>
      <c r="D361" s="2">
        <v>41439</v>
      </c>
      <c r="E361" s="9">
        <v>3418</v>
      </c>
      <c r="F361" s="9">
        <v>15050</v>
      </c>
      <c r="G361" s="3">
        <v>19.100000000000001</v>
      </c>
      <c r="H361" s="3">
        <v>18.100000000000001</v>
      </c>
      <c r="I361" s="3">
        <v>2.6</v>
      </c>
      <c r="J361" s="5">
        <f t="shared" si="5"/>
        <v>3292.1942123983135</v>
      </c>
      <c r="K361" s="2">
        <v>37.586784999999999</v>
      </c>
      <c r="L361">
        <v>-5.2360220000000002</v>
      </c>
    </row>
    <row r="362" spans="1:12" ht="34.200000000000003" customHeight="1" thickBot="1" x14ac:dyDescent="0.35">
      <c r="A362" s="1">
        <v>4102401</v>
      </c>
      <c r="B362" s="2" t="s">
        <v>436</v>
      </c>
      <c r="C362" s="2">
        <v>1</v>
      </c>
      <c r="D362" s="2">
        <v>41410</v>
      </c>
      <c r="E362" s="9">
        <v>1585</v>
      </c>
      <c r="F362" s="9">
        <v>18550</v>
      </c>
      <c r="G362" s="3">
        <v>13.4</v>
      </c>
      <c r="H362" s="3">
        <v>21.6</v>
      </c>
      <c r="I362" s="3">
        <v>2.6</v>
      </c>
      <c r="J362" s="5">
        <f t="shared" si="5"/>
        <v>1710.2963808234258</v>
      </c>
      <c r="K362" s="2">
        <v>37.472250000000003</v>
      </c>
      <c r="L362">
        <v>-5.6391540000000004</v>
      </c>
    </row>
    <row r="363" spans="1:12" ht="34.200000000000003" customHeight="1" thickBot="1" x14ac:dyDescent="0.35">
      <c r="A363" s="1">
        <v>4102402</v>
      </c>
      <c r="B363" s="2" t="s">
        <v>436</v>
      </c>
      <c r="C363" s="2">
        <v>2</v>
      </c>
      <c r="D363" s="2">
        <v>41410</v>
      </c>
      <c r="E363" s="9">
        <v>884</v>
      </c>
      <c r="F363" s="9">
        <v>17850</v>
      </c>
      <c r="G363" s="3">
        <v>14.3</v>
      </c>
      <c r="H363" s="3">
        <v>23.8</v>
      </c>
      <c r="I363" s="3">
        <v>2.5</v>
      </c>
      <c r="J363" s="5">
        <f t="shared" si="5"/>
        <v>922.80778426800134</v>
      </c>
      <c r="K363" s="2">
        <v>37.473999999999997</v>
      </c>
      <c r="L363">
        <v>-5.6347860000000001</v>
      </c>
    </row>
    <row r="364" spans="1:12" ht="34.200000000000003" customHeight="1" thickBot="1" x14ac:dyDescent="0.35">
      <c r="A364" s="1">
        <v>4102403</v>
      </c>
      <c r="B364" s="2" t="s">
        <v>436</v>
      </c>
      <c r="C364" s="2">
        <v>3</v>
      </c>
      <c r="D364" s="2">
        <v>41410</v>
      </c>
      <c r="E364" s="9">
        <v>1145</v>
      </c>
      <c r="F364" s="9">
        <v>16450</v>
      </c>
      <c r="G364" s="3">
        <v>13.7</v>
      </c>
      <c r="H364" s="3">
        <v>24</v>
      </c>
      <c r="I364" s="3">
        <v>2.6</v>
      </c>
      <c r="J364" s="5">
        <f t="shared" si="5"/>
        <v>1070.5805451383339</v>
      </c>
      <c r="K364" s="2">
        <v>37.474400000000003</v>
      </c>
      <c r="L364">
        <v>-5.6404629999999996</v>
      </c>
    </row>
    <row r="365" spans="1:12" ht="34.200000000000003" customHeight="1" thickBot="1" x14ac:dyDescent="0.35">
      <c r="A365" s="1">
        <v>4102404</v>
      </c>
      <c r="B365" s="2" t="s">
        <v>436</v>
      </c>
      <c r="C365" s="2">
        <v>4</v>
      </c>
      <c r="D365" s="2">
        <v>41410</v>
      </c>
      <c r="E365" s="9">
        <v>9983</v>
      </c>
      <c r="F365" s="9">
        <v>15750</v>
      </c>
      <c r="G365" s="3">
        <v>16.7</v>
      </c>
      <c r="H365" s="3">
        <v>21.2</v>
      </c>
      <c r="I365" s="3">
        <v>2.6</v>
      </c>
      <c r="J365" s="5">
        <f t="shared" si="5"/>
        <v>9514.8186645759015</v>
      </c>
      <c r="K365" s="2">
        <v>37.476053</v>
      </c>
      <c r="L365">
        <v>-5.645022</v>
      </c>
    </row>
    <row r="366" spans="1:12" ht="34.200000000000003" customHeight="1" thickBot="1" x14ac:dyDescent="0.35">
      <c r="A366" s="1">
        <v>4102405</v>
      </c>
      <c r="B366" s="2" t="s">
        <v>436</v>
      </c>
      <c r="C366" s="2">
        <v>5</v>
      </c>
      <c r="D366" s="2">
        <v>41410</v>
      </c>
      <c r="E366" s="9">
        <v>7985</v>
      </c>
      <c r="F366" s="9">
        <v>15750</v>
      </c>
      <c r="G366" s="3">
        <v>18.899999999999999</v>
      </c>
      <c r="H366" s="3">
        <v>17.2</v>
      </c>
      <c r="I366" s="3">
        <v>2.8</v>
      </c>
      <c r="J366" s="5">
        <f t="shared" si="5"/>
        <v>7809.7944721712338</v>
      </c>
      <c r="K366" s="2">
        <v>37.467872</v>
      </c>
      <c r="L366">
        <v>-5.649489</v>
      </c>
    </row>
    <row r="367" spans="1:12" ht="34.200000000000003" customHeight="1" thickBot="1" x14ac:dyDescent="0.35">
      <c r="A367" s="1">
        <v>4102406</v>
      </c>
      <c r="B367" s="2" t="s">
        <v>436</v>
      </c>
      <c r="C367" s="2">
        <v>6</v>
      </c>
      <c r="D367" s="2">
        <v>41410</v>
      </c>
      <c r="E367" s="9">
        <v>8212</v>
      </c>
      <c r="F367" s="9">
        <v>15050</v>
      </c>
      <c r="G367" s="3">
        <v>17.7</v>
      </c>
      <c r="H367" s="3">
        <v>13.8</v>
      </c>
      <c r="I367" s="3">
        <v>2.5</v>
      </c>
      <c r="J367" s="5">
        <f t="shared" si="5"/>
        <v>8297.9950770351606</v>
      </c>
      <c r="K367" s="2">
        <v>37.586812999999999</v>
      </c>
      <c r="L367">
        <v>-5.6135250000000001</v>
      </c>
    </row>
    <row r="368" spans="1:12" ht="34.200000000000003" customHeight="1" thickBot="1" x14ac:dyDescent="0.35">
      <c r="A368" s="1">
        <v>4102501</v>
      </c>
      <c r="B368" s="2" t="s">
        <v>437</v>
      </c>
      <c r="C368" s="2">
        <v>1</v>
      </c>
      <c r="D368" s="2">
        <v>41820</v>
      </c>
      <c r="E368" s="9">
        <v>1425</v>
      </c>
      <c r="F368" s="9">
        <v>15050</v>
      </c>
      <c r="G368" s="3">
        <v>19</v>
      </c>
      <c r="H368" s="3">
        <v>17.600000000000001</v>
      </c>
      <c r="I368" s="3">
        <v>2.6</v>
      </c>
      <c r="J368" s="5">
        <f t="shared" si="5"/>
        <v>1377.9860920360304</v>
      </c>
      <c r="K368" s="2">
        <v>37.369743</v>
      </c>
      <c r="L368">
        <v>-6.3220789999999996</v>
      </c>
    </row>
    <row r="369" spans="1:12" ht="34.200000000000003" customHeight="1" thickBot="1" x14ac:dyDescent="0.35">
      <c r="A369" s="1">
        <v>4102502</v>
      </c>
      <c r="B369" s="2" t="s">
        <v>437</v>
      </c>
      <c r="C369" s="2">
        <v>2</v>
      </c>
      <c r="D369" s="2">
        <v>41820</v>
      </c>
      <c r="E369" s="9">
        <v>1188</v>
      </c>
      <c r="F369" s="9">
        <v>16450</v>
      </c>
      <c r="G369" s="3">
        <v>15.3</v>
      </c>
      <c r="H369" s="3">
        <v>21.7</v>
      </c>
      <c r="I369" s="3">
        <v>2.5</v>
      </c>
      <c r="J369" s="5">
        <f t="shared" si="5"/>
        <v>1182.0351092711724</v>
      </c>
      <c r="K369" s="2">
        <v>37.361961999999998</v>
      </c>
      <c r="L369">
        <v>-6.330355</v>
      </c>
    </row>
    <row r="370" spans="1:12" ht="34.200000000000003" customHeight="1" thickBot="1" x14ac:dyDescent="0.35">
      <c r="A370" s="1">
        <v>4102601</v>
      </c>
      <c r="B370" s="2" t="s">
        <v>438</v>
      </c>
      <c r="C370" s="2">
        <v>1</v>
      </c>
      <c r="D370" s="2">
        <v>41544</v>
      </c>
      <c r="E370" s="9">
        <v>3144</v>
      </c>
      <c r="F370" s="9">
        <v>14350</v>
      </c>
      <c r="G370" s="3">
        <v>18.600000000000001</v>
      </c>
      <c r="H370" s="3">
        <v>17.8</v>
      </c>
      <c r="I370" s="3">
        <v>2.6</v>
      </c>
      <c r="J370" s="5">
        <f t="shared" si="5"/>
        <v>2881.7114064697648</v>
      </c>
      <c r="K370" s="2">
        <v>37.299737999999998</v>
      </c>
      <c r="L370">
        <v>-4.7526330000000003</v>
      </c>
    </row>
    <row r="371" spans="1:12" ht="34.200000000000003" customHeight="1" thickBot="1" x14ac:dyDescent="0.35">
      <c r="A371" s="1">
        <v>4102602</v>
      </c>
      <c r="B371" s="2" t="s">
        <v>438</v>
      </c>
      <c r="C371" s="2">
        <v>2</v>
      </c>
      <c r="D371" s="2">
        <v>41544</v>
      </c>
      <c r="E371" s="9">
        <v>2159</v>
      </c>
      <c r="F371" s="9">
        <v>14350</v>
      </c>
      <c r="G371" s="3">
        <v>15.2</v>
      </c>
      <c r="H371" s="3">
        <v>21</v>
      </c>
      <c r="I371" s="3">
        <v>2.5</v>
      </c>
      <c r="J371" s="5">
        <f t="shared" si="5"/>
        <v>1885.9389536044266</v>
      </c>
      <c r="K371" s="2">
        <v>37.296487999999997</v>
      </c>
      <c r="L371">
        <v>-4.7629729999999997</v>
      </c>
    </row>
    <row r="372" spans="1:12" ht="34.200000000000003" customHeight="1" thickBot="1" x14ac:dyDescent="0.35">
      <c r="A372" s="1">
        <v>4102701</v>
      </c>
      <c r="B372" s="2" t="s">
        <v>439</v>
      </c>
      <c r="C372" s="2">
        <v>1</v>
      </c>
      <c r="D372" s="2">
        <v>41230</v>
      </c>
      <c r="E372" s="9">
        <v>2197</v>
      </c>
      <c r="F372" s="9">
        <v>14350</v>
      </c>
      <c r="G372" s="3">
        <v>16.7</v>
      </c>
      <c r="H372" s="3">
        <v>20</v>
      </c>
      <c r="I372" s="3">
        <v>2.4</v>
      </c>
      <c r="J372" s="5">
        <f t="shared" si="5"/>
        <v>2010.6894546310327</v>
      </c>
      <c r="K372" s="2">
        <v>37.673915000000001</v>
      </c>
      <c r="L372">
        <v>-5.9859920000000004</v>
      </c>
    </row>
    <row r="373" spans="1:12" ht="34.200000000000003" customHeight="1" thickBot="1" x14ac:dyDescent="0.35">
      <c r="A373" s="1">
        <v>4102702</v>
      </c>
      <c r="B373" s="2" t="s">
        <v>439</v>
      </c>
      <c r="C373" s="2">
        <v>2</v>
      </c>
      <c r="D373" s="2">
        <v>41230</v>
      </c>
      <c r="E373" s="9">
        <v>2923</v>
      </c>
      <c r="F373" s="9">
        <v>13650</v>
      </c>
      <c r="G373" s="3">
        <v>15.1</v>
      </c>
      <c r="H373" s="3">
        <v>21.1</v>
      </c>
      <c r="I373" s="3">
        <v>2.2000000000000002</v>
      </c>
      <c r="J373" s="5">
        <f t="shared" si="5"/>
        <v>2583.5696190871313</v>
      </c>
      <c r="K373" s="2">
        <v>37.674089000000002</v>
      </c>
      <c r="L373">
        <v>-5.9917230000000004</v>
      </c>
    </row>
    <row r="374" spans="1:12" ht="34.200000000000003" customHeight="1" thickBot="1" x14ac:dyDescent="0.35">
      <c r="A374" s="1">
        <v>4102801</v>
      </c>
      <c r="B374" s="2" t="s">
        <v>440</v>
      </c>
      <c r="C374" s="2">
        <v>1</v>
      </c>
      <c r="D374" s="2">
        <v>41908</v>
      </c>
      <c r="E374" s="9">
        <v>2862</v>
      </c>
      <c r="F374" s="9">
        <v>21350</v>
      </c>
      <c r="G374" s="3">
        <v>18.5</v>
      </c>
      <c r="H374" s="3">
        <v>10</v>
      </c>
      <c r="I374" s="3">
        <v>3</v>
      </c>
      <c r="J374" s="5">
        <f t="shared" si="5"/>
        <v>3910.9188859250194</v>
      </c>
      <c r="K374" s="2">
        <v>37.409554999999997</v>
      </c>
      <c r="L374">
        <v>-6.0513130000000004</v>
      </c>
    </row>
    <row r="375" spans="1:12" ht="34.200000000000003" customHeight="1" thickBot="1" x14ac:dyDescent="0.35">
      <c r="A375" s="1">
        <v>4102901</v>
      </c>
      <c r="B375" s="2" t="s">
        <v>441</v>
      </c>
      <c r="C375" s="2">
        <v>1</v>
      </c>
      <c r="D375" s="2">
        <v>41950</v>
      </c>
      <c r="E375" s="9">
        <v>17067</v>
      </c>
      <c r="F375" s="9">
        <v>17150</v>
      </c>
      <c r="G375" s="3">
        <v>18.100000000000001</v>
      </c>
      <c r="H375" s="3">
        <v>18.5</v>
      </c>
      <c r="I375" s="3">
        <v>2.7</v>
      </c>
      <c r="J375" s="5">
        <f t="shared" si="5"/>
        <v>18127.627074038075</v>
      </c>
      <c r="K375" s="2">
        <v>37.389220000000002</v>
      </c>
      <c r="L375">
        <v>-6.0521609999999999</v>
      </c>
    </row>
    <row r="376" spans="1:12" ht="34.200000000000003" customHeight="1" thickBot="1" x14ac:dyDescent="0.35">
      <c r="A376" s="1">
        <v>4103001</v>
      </c>
      <c r="B376" s="2" t="s">
        <v>442</v>
      </c>
      <c r="C376" s="2">
        <v>1</v>
      </c>
      <c r="D376" s="2">
        <v>41810</v>
      </c>
      <c r="E376" s="9">
        <v>607</v>
      </c>
      <c r="F376" s="9">
        <v>15750</v>
      </c>
      <c r="G376" s="3">
        <v>13.7</v>
      </c>
      <c r="H376" s="3">
        <v>22.1</v>
      </c>
      <c r="I376" s="3">
        <v>2.5</v>
      </c>
      <c r="J376" s="5">
        <f t="shared" si="5"/>
        <v>565.89636922285035</v>
      </c>
      <c r="K376" s="2">
        <v>37.392215999999998</v>
      </c>
      <c r="L376">
        <v>-6.3377119999999998</v>
      </c>
    </row>
    <row r="377" spans="1:12" ht="34.200000000000003" customHeight="1" thickBot="1" x14ac:dyDescent="0.35">
      <c r="A377" s="1">
        <v>4103101</v>
      </c>
      <c r="B377" s="2" t="s">
        <v>622</v>
      </c>
      <c r="C377" s="2">
        <v>1</v>
      </c>
      <c r="D377" s="2">
        <v>41890</v>
      </c>
      <c r="E377" s="9">
        <v>1501</v>
      </c>
      <c r="F377" s="9">
        <v>14700</v>
      </c>
      <c r="G377" s="3">
        <v>11.1</v>
      </c>
      <c r="H377" s="3">
        <v>26.1</v>
      </c>
      <c r="I377" s="3">
        <v>2.1</v>
      </c>
      <c r="J377" s="5">
        <f t="shared" si="5"/>
        <v>1322.3593621570285</v>
      </c>
      <c r="K377" s="2">
        <v>37.693562999999997</v>
      </c>
      <c r="L377">
        <v>-6.3172689999999996</v>
      </c>
    </row>
    <row r="378" spans="1:12" ht="34.200000000000003" customHeight="1" thickBot="1" x14ac:dyDescent="0.35">
      <c r="A378" s="1">
        <v>4103201</v>
      </c>
      <c r="B378" s="2" t="s">
        <v>443</v>
      </c>
      <c r="C378" s="2">
        <v>1</v>
      </c>
      <c r="D378" s="2">
        <v>41370</v>
      </c>
      <c r="E378" s="9">
        <v>1876</v>
      </c>
      <c r="F378" s="9">
        <v>14350</v>
      </c>
      <c r="G378" s="3">
        <v>12.1</v>
      </c>
      <c r="H378" s="3">
        <v>26.6</v>
      </c>
      <c r="I378" s="3">
        <v>2.2999999999999998</v>
      </c>
      <c r="J378" s="5">
        <f t="shared" si="5"/>
        <v>1550.7047629768329</v>
      </c>
      <c r="K378" s="2">
        <v>37.927843000000003</v>
      </c>
      <c r="L378">
        <v>-5.7609490000000001</v>
      </c>
    </row>
    <row r="379" spans="1:12" ht="34.200000000000003" customHeight="1" thickBot="1" x14ac:dyDescent="0.35">
      <c r="A379" s="1">
        <v>4103202</v>
      </c>
      <c r="B379" s="2" t="s">
        <v>443</v>
      </c>
      <c r="C379" s="2">
        <v>2</v>
      </c>
      <c r="D379" s="2">
        <v>41370</v>
      </c>
      <c r="E379" s="9">
        <v>2770</v>
      </c>
      <c r="F379" s="9">
        <v>14350</v>
      </c>
      <c r="G379" s="3">
        <v>16</v>
      </c>
      <c r="H379" s="3">
        <v>20</v>
      </c>
      <c r="I379" s="3">
        <v>2.5</v>
      </c>
      <c r="J379" s="5">
        <f t="shared" si="5"/>
        <v>2465.8978833603724</v>
      </c>
      <c r="K379" s="2">
        <v>37.933740999999998</v>
      </c>
      <c r="L379">
        <v>-5.7607220000000003</v>
      </c>
    </row>
    <row r="380" spans="1:12" ht="34.200000000000003" customHeight="1" thickBot="1" x14ac:dyDescent="0.35">
      <c r="A380" s="1">
        <v>4103301</v>
      </c>
      <c r="B380" s="2" t="s">
        <v>444</v>
      </c>
      <c r="C380" s="2">
        <v>1</v>
      </c>
      <c r="D380" s="2">
        <v>41450</v>
      </c>
      <c r="E380" s="9">
        <v>2431</v>
      </c>
      <c r="F380" s="9">
        <v>14350</v>
      </c>
      <c r="G380" s="3">
        <v>14.3</v>
      </c>
      <c r="H380" s="3">
        <v>20.2</v>
      </c>
      <c r="I380" s="3">
        <v>2.5</v>
      </c>
      <c r="J380" s="5">
        <f t="shared" si="5"/>
        <v>2121.28327577338</v>
      </c>
      <c r="K380" s="2">
        <v>37.866253999999998</v>
      </c>
      <c r="L380">
        <v>-5.6191190000000004</v>
      </c>
    </row>
    <row r="381" spans="1:12" ht="34.200000000000003" customHeight="1" thickBot="1" x14ac:dyDescent="0.35">
      <c r="A381" s="1">
        <v>4103302</v>
      </c>
      <c r="B381" s="2" t="s">
        <v>444</v>
      </c>
      <c r="C381" s="2">
        <v>2</v>
      </c>
      <c r="D381" s="2">
        <v>41450</v>
      </c>
      <c r="E381" s="9">
        <v>1270</v>
      </c>
      <c r="F381" s="9">
        <v>13650</v>
      </c>
      <c r="G381" s="3">
        <v>13.4</v>
      </c>
      <c r="H381" s="3">
        <v>23</v>
      </c>
      <c r="I381" s="3">
        <v>2.2999999999999998</v>
      </c>
      <c r="J381" s="5">
        <f t="shared" si="5"/>
        <v>1055.8034426993834</v>
      </c>
      <c r="K381" s="2">
        <v>37.874085999999998</v>
      </c>
      <c r="L381">
        <v>-5.6186809999999996</v>
      </c>
    </row>
    <row r="382" spans="1:12" ht="34.200000000000003" customHeight="1" thickBot="1" x14ac:dyDescent="0.35">
      <c r="A382" s="1">
        <v>4103303</v>
      </c>
      <c r="B382" s="2" t="s">
        <v>444</v>
      </c>
      <c r="C382" s="2">
        <v>3</v>
      </c>
      <c r="D382" s="2">
        <v>41450</v>
      </c>
      <c r="E382" s="9">
        <v>999</v>
      </c>
      <c r="F382" s="9">
        <v>12950</v>
      </c>
      <c r="G382" s="3">
        <v>14.5</v>
      </c>
      <c r="H382" s="3">
        <v>22.4</v>
      </c>
      <c r="I382" s="3">
        <v>2.4</v>
      </c>
      <c r="J382" s="5">
        <f t="shared" si="5"/>
        <v>785.83515777207504</v>
      </c>
      <c r="K382" s="2">
        <v>37.844208999999999</v>
      </c>
      <c r="L382">
        <v>-5.6415930000000003</v>
      </c>
    </row>
    <row r="383" spans="1:12" ht="34.200000000000003" customHeight="1" thickBot="1" x14ac:dyDescent="0.35">
      <c r="A383" s="1">
        <v>4103304</v>
      </c>
      <c r="B383" s="2" t="s">
        <v>444</v>
      </c>
      <c r="C383" s="2">
        <v>4</v>
      </c>
      <c r="D383" s="2">
        <v>41450</v>
      </c>
      <c r="E383" s="9">
        <v>1005</v>
      </c>
      <c r="F383" s="9">
        <v>12950</v>
      </c>
      <c r="G383" s="3">
        <v>15</v>
      </c>
      <c r="H383" s="3">
        <v>21.8</v>
      </c>
      <c r="I383" s="3">
        <v>2.2000000000000002</v>
      </c>
      <c r="J383" s="5">
        <f t="shared" si="5"/>
        <v>835.56952337046971</v>
      </c>
      <c r="K383" s="2">
        <v>37.851652000000001</v>
      </c>
      <c r="L383">
        <v>-5.5949540000000004</v>
      </c>
    </row>
    <row r="384" spans="1:12" ht="34.200000000000003" customHeight="1" thickBot="1" x14ac:dyDescent="0.35">
      <c r="A384" s="1">
        <v>4103401</v>
      </c>
      <c r="B384" s="2" t="s">
        <v>445</v>
      </c>
      <c r="C384" s="2">
        <v>1</v>
      </c>
      <c r="D384" s="2">
        <v>41100</v>
      </c>
      <c r="E384" s="9">
        <v>18154</v>
      </c>
      <c r="F384" s="9">
        <v>14350</v>
      </c>
      <c r="G384" s="3">
        <v>19.2</v>
      </c>
      <c r="H384" s="3">
        <v>16.600000000000001</v>
      </c>
      <c r="I384" s="3">
        <v>2.7</v>
      </c>
      <c r="J384" s="5">
        <f t="shared" si="5"/>
        <v>16620.033692660974</v>
      </c>
      <c r="K384" s="2">
        <v>37.287025999999997</v>
      </c>
      <c r="L384">
        <v>-6.0531040000000003</v>
      </c>
    </row>
    <row r="385" spans="1:12" ht="34.200000000000003" customHeight="1" thickBot="1" x14ac:dyDescent="0.35">
      <c r="A385" s="1">
        <v>4103402</v>
      </c>
      <c r="B385" s="2" t="s">
        <v>445</v>
      </c>
      <c r="C385" s="2">
        <v>2</v>
      </c>
      <c r="D385" s="2">
        <v>41100</v>
      </c>
      <c r="E385" s="9">
        <v>3853</v>
      </c>
      <c r="F385" s="9">
        <v>15750</v>
      </c>
      <c r="G385" s="3">
        <v>17.8</v>
      </c>
      <c r="H385" s="3">
        <v>20.2</v>
      </c>
      <c r="I385" s="3">
        <v>2.6</v>
      </c>
      <c r="J385" s="5">
        <f t="shared" si="5"/>
        <v>3753.0547483664936</v>
      </c>
      <c r="K385" s="2">
        <v>37.27711</v>
      </c>
      <c r="L385">
        <v>-6.0548169999999999</v>
      </c>
    </row>
    <row r="386" spans="1:12" ht="34.200000000000003" customHeight="1" thickBot="1" x14ac:dyDescent="0.35">
      <c r="A386" s="1">
        <v>4103403</v>
      </c>
      <c r="B386" s="2" t="s">
        <v>445</v>
      </c>
      <c r="C386" s="2">
        <v>3</v>
      </c>
      <c r="D386" s="2">
        <v>41100</v>
      </c>
      <c r="E386" s="9">
        <v>9029</v>
      </c>
      <c r="F386" s="9">
        <v>15050</v>
      </c>
      <c r="G386" s="3">
        <v>20.8</v>
      </c>
      <c r="H386" s="3">
        <v>12.7</v>
      </c>
      <c r="I386" s="3">
        <v>2.8</v>
      </c>
      <c r="J386" s="5">
        <f t="shared" si="5"/>
        <v>8969.4336217961027</v>
      </c>
      <c r="K386" s="2">
        <v>37.283959000000003</v>
      </c>
      <c r="L386">
        <v>-6.0538420000000004</v>
      </c>
    </row>
    <row r="387" spans="1:12" ht="34.200000000000003" customHeight="1" thickBot="1" x14ac:dyDescent="0.35">
      <c r="A387" s="1">
        <v>4103501</v>
      </c>
      <c r="B387" s="2" t="s">
        <v>446</v>
      </c>
      <c r="C387" s="2">
        <v>1</v>
      </c>
      <c r="D387" s="2">
        <v>41760</v>
      </c>
      <c r="E387" s="9">
        <v>1198</v>
      </c>
      <c r="F387" s="9">
        <v>14350</v>
      </c>
      <c r="G387" s="3">
        <v>13.6</v>
      </c>
      <c r="H387" s="3">
        <v>26.1</v>
      </c>
      <c r="I387" s="3">
        <v>2.2000000000000002</v>
      </c>
      <c r="J387" s="5">
        <f t="shared" si="5"/>
        <v>1036.2096219920263</v>
      </c>
      <c r="K387" s="2">
        <v>36.987177000000003</v>
      </c>
      <c r="L387">
        <v>-5.4055549999999997</v>
      </c>
    </row>
    <row r="388" spans="1:12" ht="34.200000000000003" customHeight="1" thickBot="1" x14ac:dyDescent="0.35">
      <c r="A388" s="1">
        <v>4103601</v>
      </c>
      <c r="B388" s="2" t="s">
        <v>623</v>
      </c>
      <c r="C388" s="2">
        <v>1</v>
      </c>
      <c r="D388" s="2">
        <v>41760</v>
      </c>
      <c r="E388" s="9">
        <v>1813</v>
      </c>
      <c r="F388" s="9">
        <v>15750</v>
      </c>
      <c r="G388" s="3">
        <v>19.899999999999999</v>
      </c>
      <c r="H388" s="3">
        <v>20.7</v>
      </c>
      <c r="I388" s="3">
        <v>2.5</v>
      </c>
      <c r="J388" s="5">
        <f t="shared" si="5"/>
        <v>1830.4683288522897</v>
      </c>
      <c r="K388" s="2">
        <v>37.080508000000002</v>
      </c>
      <c r="L388">
        <v>-5.6310830000000003</v>
      </c>
    </row>
    <row r="389" spans="1:12" ht="34.200000000000003" customHeight="1" thickBot="1" x14ac:dyDescent="0.35">
      <c r="A389" s="1">
        <v>4103602</v>
      </c>
      <c r="B389" s="2" t="s">
        <v>623</v>
      </c>
      <c r="C389" s="2">
        <v>2</v>
      </c>
      <c r="D389" s="2">
        <v>41760</v>
      </c>
      <c r="E389" s="9">
        <v>2867</v>
      </c>
      <c r="F389" s="9">
        <v>13650</v>
      </c>
      <c r="G389" s="3">
        <v>13.2</v>
      </c>
      <c r="H389" s="3">
        <v>21.8</v>
      </c>
      <c r="I389" s="3">
        <v>2.5</v>
      </c>
      <c r="J389" s="5">
        <f t="shared" si="5"/>
        <v>2311.4192439080016</v>
      </c>
      <c r="K389" s="2">
        <v>37.078840999999997</v>
      </c>
      <c r="L389">
        <v>-5.6352469999999997</v>
      </c>
    </row>
    <row r="390" spans="1:12" ht="34.200000000000003" customHeight="1" thickBot="1" x14ac:dyDescent="0.35">
      <c r="A390" s="1">
        <v>4103701</v>
      </c>
      <c r="B390" s="2" t="s">
        <v>624</v>
      </c>
      <c r="C390" s="2">
        <v>1</v>
      </c>
      <c r="D390" s="2">
        <v>41657</v>
      </c>
      <c r="E390" s="9">
        <v>1805</v>
      </c>
      <c r="F390" s="9">
        <v>15050</v>
      </c>
      <c r="G390" s="3">
        <v>17.2</v>
      </c>
      <c r="H390" s="3">
        <v>20.6</v>
      </c>
      <c r="I390" s="3">
        <v>2.5</v>
      </c>
      <c r="J390" s="5">
        <f t="shared" si="5"/>
        <v>1695.7546523586479</v>
      </c>
      <c r="K390" s="2">
        <v>37.099314999999997</v>
      </c>
      <c r="L390">
        <v>-4.980334</v>
      </c>
    </row>
    <row r="391" spans="1:12" ht="34.200000000000003" customHeight="1" thickBot="1" x14ac:dyDescent="0.35">
      <c r="A391" s="1">
        <v>4103702</v>
      </c>
      <c r="B391" s="2" t="s">
        <v>624</v>
      </c>
      <c r="C391" s="2">
        <v>2</v>
      </c>
      <c r="D391" s="2">
        <v>41657</v>
      </c>
      <c r="E391" s="9">
        <v>2163</v>
      </c>
      <c r="F391" s="9">
        <v>14350</v>
      </c>
      <c r="G391" s="3">
        <v>17.399999999999999</v>
      </c>
      <c r="H391" s="3">
        <v>17.7</v>
      </c>
      <c r="I391" s="3">
        <v>2.5</v>
      </c>
      <c r="J391" s="5">
        <f t="shared" si="5"/>
        <v>1999.7502671267148</v>
      </c>
      <c r="K391" s="2">
        <v>37.110045</v>
      </c>
      <c r="L391">
        <v>-5.0148529999999996</v>
      </c>
    </row>
    <row r="392" spans="1:12" ht="34.200000000000003" customHeight="1" thickBot="1" x14ac:dyDescent="0.35">
      <c r="A392" s="1">
        <v>4190301</v>
      </c>
      <c r="B392" s="2" t="s">
        <v>625</v>
      </c>
      <c r="C392" s="2">
        <v>1</v>
      </c>
      <c r="D392" s="2">
        <v>41749</v>
      </c>
      <c r="E392" s="9">
        <v>8658</v>
      </c>
      <c r="F392" s="9">
        <v>13650</v>
      </c>
      <c r="G392" s="3">
        <v>18.3</v>
      </c>
      <c r="H392" s="3">
        <v>16.100000000000001</v>
      </c>
      <c r="I392" s="3">
        <v>2.6</v>
      </c>
      <c r="J392" s="5">
        <f t="shared" ref="J392:J455" si="6">E392*(F392/$H$1)*(1+(G392/100)-(H392/100))*($H$2/I392)^0.5</f>
        <v>7653.4393269400898</v>
      </c>
      <c r="K392" s="2">
        <v>36.850746000000001</v>
      </c>
      <c r="L392">
        <v>-6.0380079999999996</v>
      </c>
    </row>
    <row r="393" spans="1:12" ht="34.200000000000003" customHeight="1" thickBot="1" x14ac:dyDescent="0.35">
      <c r="A393" s="1">
        <v>4103801</v>
      </c>
      <c r="B393" s="2" t="s">
        <v>447</v>
      </c>
      <c r="C393" s="2">
        <v>1</v>
      </c>
      <c r="D393" s="2">
        <v>41701</v>
      </c>
      <c r="E393" s="9">
        <v>11828</v>
      </c>
      <c r="F393" s="9">
        <v>14350</v>
      </c>
      <c r="G393" s="3">
        <v>20.5</v>
      </c>
      <c r="H393" s="3">
        <v>17.5</v>
      </c>
      <c r="I393" s="3">
        <v>2.8</v>
      </c>
      <c r="J393" s="5">
        <f t="shared" si="6"/>
        <v>10674.895074230561</v>
      </c>
      <c r="K393" s="2">
        <v>37.28201</v>
      </c>
      <c r="L393">
        <v>-5.9177790000000003</v>
      </c>
    </row>
    <row r="394" spans="1:12" ht="34.200000000000003" customHeight="1" thickBot="1" x14ac:dyDescent="0.35">
      <c r="A394" s="1">
        <v>4103802</v>
      </c>
      <c r="B394" s="2" t="s">
        <v>447</v>
      </c>
      <c r="C394" s="2">
        <v>2</v>
      </c>
      <c r="D394" s="2">
        <v>41702</v>
      </c>
      <c r="E394" s="9">
        <v>18491</v>
      </c>
      <c r="F394" s="9">
        <v>15750</v>
      </c>
      <c r="G394" s="3">
        <v>17.5</v>
      </c>
      <c r="H394" s="3">
        <v>20.6</v>
      </c>
      <c r="I394" s="3">
        <v>2.6</v>
      </c>
      <c r="J394" s="5">
        <f t="shared" si="6"/>
        <v>17882.171215353654</v>
      </c>
      <c r="K394" s="2">
        <v>37.284973000000001</v>
      </c>
      <c r="L394">
        <v>-5.9228750000000003</v>
      </c>
    </row>
    <row r="395" spans="1:12" ht="34.200000000000003" customHeight="1" thickBot="1" x14ac:dyDescent="0.35">
      <c r="A395" s="1">
        <v>4103803</v>
      </c>
      <c r="B395" s="2" t="s">
        <v>447</v>
      </c>
      <c r="C395" s="2">
        <v>3</v>
      </c>
      <c r="D395" s="2">
        <v>41703</v>
      </c>
      <c r="E395" s="9">
        <v>22230</v>
      </c>
      <c r="F395" s="9">
        <v>17150</v>
      </c>
      <c r="G395" s="3">
        <v>17.2</v>
      </c>
      <c r="H395" s="3">
        <v>20.100000000000001</v>
      </c>
      <c r="I395" s="3">
        <v>2.7</v>
      </c>
      <c r="J395" s="5">
        <f t="shared" si="6"/>
        <v>23018.823551665275</v>
      </c>
      <c r="K395" s="2">
        <v>37.268726000000001</v>
      </c>
      <c r="L395">
        <v>-5.9235490000000004</v>
      </c>
    </row>
    <row r="396" spans="1:12" ht="34.200000000000003" customHeight="1" thickBot="1" x14ac:dyDescent="0.35">
      <c r="A396" s="1">
        <v>4103804</v>
      </c>
      <c r="B396" s="2" t="s">
        <v>447</v>
      </c>
      <c r="C396" s="2">
        <v>4</v>
      </c>
      <c r="D396" s="2">
        <v>41089</v>
      </c>
      <c r="E396" s="9">
        <v>38446</v>
      </c>
      <c r="F396" s="9">
        <v>17850</v>
      </c>
      <c r="G396" s="3">
        <v>22.5</v>
      </c>
      <c r="H396" s="3">
        <v>12.6</v>
      </c>
      <c r="I396" s="3">
        <v>2.8</v>
      </c>
      <c r="J396" s="5">
        <f t="shared" si="6"/>
        <v>46052.185759565749</v>
      </c>
      <c r="K396" s="2">
        <v>37.287126000000001</v>
      </c>
      <c r="L396">
        <v>-5.9277319999999998</v>
      </c>
    </row>
    <row r="397" spans="1:12" ht="34.200000000000003" customHeight="1" thickBot="1" x14ac:dyDescent="0.35">
      <c r="A397" s="1">
        <v>4103805</v>
      </c>
      <c r="B397" s="2" t="s">
        <v>447</v>
      </c>
      <c r="C397" s="2">
        <v>5</v>
      </c>
      <c r="D397" s="2">
        <v>41704</v>
      </c>
      <c r="E397" s="9">
        <v>48660</v>
      </c>
      <c r="F397" s="9">
        <v>20650</v>
      </c>
      <c r="G397" s="3">
        <v>20.5</v>
      </c>
      <c r="H397" s="3">
        <v>12.2</v>
      </c>
      <c r="I397" s="3">
        <v>2.9</v>
      </c>
      <c r="J397" s="5">
        <f t="shared" si="6"/>
        <v>65292.576602788205</v>
      </c>
      <c r="K397" s="2">
        <v>37.344309000000003</v>
      </c>
      <c r="L397">
        <v>-5.936896</v>
      </c>
    </row>
    <row r="398" spans="1:12" ht="34.200000000000003" customHeight="1" thickBot="1" x14ac:dyDescent="0.35">
      <c r="A398" s="1">
        <v>4103901</v>
      </c>
      <c r="B398" s="2" t="s">
        <v>448</v>
      </c>
      <c r="C398" s="2">
        <v>1</v>
      </c>
      <c r="D398" s="2">
        <v>41400</v>
      </c>
      <c r="E398" s="9">
        <v>13621</v>
      </c>
      <c r="F398" s="9">
        <v>13650</v>
      </c>
      <c r="G398" s="3">
        <v>19.7</v>
      </c>
      <c r="H398" s="3">
        <v>16.3</v>
      </c>
      <c r="I398" s="3">
        <v>2.7</v>
      </c>
      <c r="J398" s="5">
        <f t="shared" si="6"/>
        <v>11954.254292769539</v>
      </c>
      <c r="K398" s="2">
        <v>37.543443000000003</v>
      </c>
      <c r="L398">
        <v>-5.0816939999999997</v>
      </c>
    </row>
    <row r="399" spans="1:12" ht="34.200000000000003" customHeight="1" thickBot="1" x14ac:dyDescent="0.35">
      <c r="A399" s="1">
        <v>4103902</v>
      </c>
      <c r="B399" s="2" t="s">
        <v>448</v>
      </c>
      <c r="C399" s="2">
        <v>2</v>
      </c>
      <c r="D399" s="2">
        <v>41400</v>
      </c>
      <c r="E399" s="9">
        <v>5624</v>
      </c>
      <c r="F399" s="9">
        <v>15750</v>
      </c>
      <c r="G399" s="3">
        <v>18.899999999999999</v>
      </c>
      <c r="H399" s="3">
        <v>17.899999999999999</v>
      </c>
      <c r="I399" s="3">
        <v>2.6</v>
      </c>
      <c r="J399" s="5">
        <f t="shared" si="6"/>
        <v>5668.9517280183236</v>
      </c>
      <c r="K399" s="2">
        <v>37.550007000000001</v>
      </c>
      <c r="L399">
        <v>-5.0848870000000002</v>
      </c>
    </row>
    <row r="400" spans="1:12" ht="34.200000000000003" customHeight="1" thickBot="1" x14ac:dyDescent="0.35">
      <c r="A400" s="1">
        <v>4103903</v>
      </c>
      <c r="B400" s="2" t="s">
        <v>448</v>
      </c>
      <c r="C400" s="2">
        <v>3</v>
      </c>
      <c r="D400" s="2">
        <v>41400</v>
      </c>
      <c r="E400" s="9">
        <v>9707</v>
      </c>
      <c r="F400" s="9">
        <v>14350</v>
      </c>
      <c r="G400" s="3">
        <v>18.8</v>
      </c>
      <c r="H400" s="3">
        <v>17.600000000000001</v>
      </c>
      <c r="I400" s="3">
        <v>2.6</v>
      </c>
      <c r="J400" s="5">
        <f t="shared" si="6"/>
        <v>8932.4986286783442</v>
      </c>
      <c r="K400" s="2">
        <v>37.537191999999997</v>
      </c>
      <c r="L400">
        <v>-5.0870850000000001</v>
      </c>
    </row>
    <row r="401" spans="1:12" ht="34.200000000000003" customHeight="1" thickBot="1" x14ac:dyDescent="0.35">
      <c r="A401" s="1">
        <v>4103904</v>
      </c>
      <c r="B401" s="2" t="s">
        <v>448</v>
      </c>
      <c r="C401" s="2">
        <v>4</v>
      </c>
      <c r="D401" s="2">
        <v>41400</v>
      </c>
      <c r="E401" s="9">
        <v>7032</v>
      </c>
      <c r="F401" s="9">
        <v>17150</v>
      </c>
      <c r="G401" s="3">
        <v>16.100000000000001</v>
      </c>
      <c r="H401" s="3">
        <v>22.6</v>
      </c>
      <c r="I401" s="3">
        <v>2.5</v>
      </c>
      <c r="J401" s="5">
        <f t="shared" si="6"/>
        <v>7286.6310815275947</v>
      </c>
      <c r="K401" s="2">
        <v>37.537413999999998</v>
      </c>
      <c r="L401">
        <v>-5.0782759999999998</v>
      </c>
    </row>
    <row r="402" spans="1:12" ht="34.200000000000003" customHeight="1" thickBot="1" x14ac:dyDescent="0.35">
      <c r="A402" s="1">
        <v>4103905</v>
      </c>
      <c r="B402" s="2" t="s">
        <v>448</v>
      </c>
      <c r="C402" s="2">
        <v>5</v>
      </c>
      <c r="D402" s="2">
        <v>41400</v>
      </c>
      <c r="E402" s="9">
        <v>3449</v>
      </c>
      <c r="F402" s="9">
        <v>15050</v>
      </c>
      <c r="G402" s="3">
        <v>15.7</v>
      </c>
      <c r="H402" s="3">
        <v>18.5</v>
      </c>
      <c r="I402" s="3">
        <v>2.5</v>
      </c>
      <c r="J402" s="5">
        <f t="shared" si="6"/>
        <v>3260.3794255073594</v>
      </c>
      <c r="K402" s="2">
        <v>37.543050999999998</v>
      </c>
      <c r="L402">
        <v>-5.0779699999999997</v>
      </c>
    </row>
    <row r="403" spans="1:12" ht="34.200000000000003" customHeight="1" thickBot="1" x14ac:dyDescent="0.35">
      <c r="A403" s="1">
        <v>4104001</v>
      </c>
      <c r="B403" s="2" t="s">
        <v>449</v>
      </c>
      <c r="C403" s="2">
        <v>1</v>
      </c>
      <c r="D403" s="2">
        <v>41807</v>
      </c>
      <c r="E403" s="9">
        <v>16420</v>
      </c>
      <c r="F403" s="9">
        <v>22050</v>
      </c>
      <c r="G403" s="3">
        <v>23.4</v>
      </c>
      <c r="H403" s="3">
        <v>10.8</v>
      </c>
      <c r="I403" s="3">
        <v>3</v>
      </c>
      <c r="J403" s="5">
        <f t="shared" si="6"/>
        <v>24049.25895531525</v>
      </c>
      <c r="K403" s="2">
        <v>37.379685000000002</v>
      </c>
      <c r="L403">
        <v>-6.1275529999999998</v>
      </c>
    </row>
    <row r="404" spans="1:12" ht="34.200000000000003" customHeight="1" thickBot="1" x14ac:dyDescent="0.35">
      <c r="A404" s="1">
        <v>4104101</v>
      </c>
      <c r="B404" s="2" t="s">
        <v>450</v>
      </c>
      <c r="C404" s="2">
        <v>1</v>
      </c>
      <c r="D404" s="2">
        <v>41560</v>
      </c>
      <c r="E404" s="9">
        <v>3706</v>
      </c>
      <c r="F404" s="9">
        <v>15750</v>
      </c>
      <c r="G404" s="3">
        <v>18.7</v>
      </c>
      <c r="H404" s="3">
        <v>18.2</v>
      </c>
      <c r="I404" s="3">
        <v>2.5</v>
      </c>
      <c r="J404" s="5">
        <f t="shared" si="6"/>
        <v>3790.7419337380893</v>
      </c>
      <c r="K404" s="2">
        <v>37.290866000000001</v>
      </c>
      <c r="L404">
        <v>-4.8889779999999998</v>
      </c>
    </row>
    <row r="405" spans="1:12" ht="34.200000000000003" customHeight="1" thickBot="1" x14ac:dyDescent="0.35">
      <c r="A405" s="1">
        <v>4104102</v>
      </c>
      <c r="B405" s="2" t="s">
        <v>450</v>
      </c>
      <c r="C405" s="2">
        <v>2</v>
      </c>
      <c r="D405" s="2">
        <v>41560</v>
      </c>
      <c r="E405" s="9">
        <v>2516</v>
      </c>
      <c r="F405" s="9">
        <v>16450</v>
      </c>
      <c r="G405" s="3">
        <v>16.3</v>
      </c>
      <c r="H405" s="3">
        <v>22.1</v>
      </c>
      <c r="I405" s="3">
        <v>2.5</v>
      </c>
      <c r="J405" s="5">
        <f t="shared" si="6"/>
        <v>2519.4145114792386</v>
      </c>
      <c r="K405" s="2">
        <v>37.291083</v>
      </c>
      <c r="L405">
        <v>-4.878838</v>
      </c>
    </row>
    <row r="406" spans="1:12" ht="34.200000000000003" customHeight="1" thickBot="1" x14ac:dyDescent="0.35">
      <c r="A406" s="1">
        <v>4104103</v>
      </c>
      <c r="B406" s="2" t="s">
        <v>450</v>
      </c>
      <c r="C406" s="2">
        <v>3</v>
      </c>
      <c r="D406" s="2">
        <v>41560</v>
      </c>
      <c r="E406" s="9">
        <v>2372</v>
      </c>
      <c r="F406" s="9">
        <v>15050</v>
      </c>
      <c r="G406" s="3">
        <v>17.100000000000001</v>
      </c>
      <c r="H406" s="3">
        <v>17.8</v>
      </c>
      <c r="I406" s="3">
        <v>2.4</v>
      </c>
      <c r="J406" s="5">
        <f t="shared" si="6"/>
        <v>2337.9595945053165</v>
      </c>
      <c r="K406" s="2">
        <v>37.288772999999999</v>
      </c>
      <c r="L406">
        <v>-4.8752519999999997</v>
      </c>
    </row>
    <row r="407" spans="1:12" ht="34.200000000000003" customHeight="1" thickBot="1" x14ac:dyDescent="0.35">
      <c r="A407" s="1">
        <v>4104104</v>
      </c>
      <c r="B407" s="2" t="s">
        <v>450</v>
      </c>
      <c r="C407" s="2">
        <v>4</v>
      </c>
      <c r="D407" s="2">
        <v>41560</v>
      </c>
      <c r="E407" s="9">
        <v>3786</v>
      </c>
      <c r="F407" s="9">
        <v>15050</v>
      </c>
      <c r="G407" s="3">
        <v>20.399999999999999</v>
      </c>
      <c r="H407" s="3">
        <v>9.9</v>
      </c>
      <c r="I407" s="3">
        <v>2.8</v>
      </c>
      <c r="J407" s="5">
        <f t="shared" si="6"/>
        <v>3844.5238628037437</v>
      </c>
      <c r="K407" s="2">
        <v>37.297145</v>
      </c>
      <c r="L407">
        <v>-4.8835940000000004</v>
      </c>
    </row>
    <row r="408" spans="1:12" ht="34.200000000000003" customHeight="1" thickBot="1" x14ac:dyDescent="0.35">
      <c r="A408" s="1">
        <v>4104201</v>
      </c>
      <c r="B408" s="2" t="s">
        <v>451</v>
      </c>
      <c r="C408" s="2">
        <v>1</v>
      </c>
      <c r="D408" s="2">
        <v>41420</v>
      </c>
      <c r="E408" s="9">
        <v>1096</v>
      </c>
      <c r="F408" s="9">
        <v>15750</v>
      </c>
      <c r="G408" s="3">
        <v>12.3</v>
      </c>
      <c r="H408" s="3">
        <v>31.3</v>
      </c>
      <c r="I408" s="3">
        <v>2.2999999999999998</v>
      </c>
      <c r="J408" s="5">
        <f t="shared" si="6"/>
        <v>942.00759022167256</v>
      </c>
      <c r="K408" s="2">
        <v>37.464106000000001</v>
      </c>
      <c r="L408">
        <v>-5.348649</v>
      </c>
    </row>
    <row r="409" spans="1:12" ht="34.200000000000003" customHeight="1" thickBot="1" x14ac:dyDescent="0.35">
      <c r="A409" s="1">
        <v>4104202</v>
      </c>
      <c r="B409" s="2" t="s">
        <v>451</v>
      </c>
      <c r="C409" s="2">
        <v>2</v>
      </c>
      <c r="D409" s="2">
        <v>41420</v>
      </c>
      <c r="E409" s="9">
        <v>2147</v>
      </c>
      <c r="F409" s="9">
        <v>15050</v>
      </c>
      <c r="G409" s="3">
        <v>15</v>
      </c>
      <c r="H409" s="3">
        <v>25.8</v>
      </c>
      <c r="I409" s="3">
        <v>2.4</v>
      </c>
      <c r="J409" s="5">
        <f t="shared" si="6"/>
        <v>1900.9468176338073</v>
      </c>
      <c r="K409" s="2">
        <v>37.466979000000002</v>
      </c>
      <c r="L409">
        <v>-5.346139</v>
      </c>
    </row>
    <row r="410" spans="1:12" ht="34.200000000000003" customHeight="1" thickBot="1" x14ac:dyDescent="0.35">
      <c r="A410" s="1">
        <v>4104203</v>
      </c>
      <c r="B410" s="2" t="s">
        <v>451</v>
      </c>
      <c r="C410" s="2">
        <v>3</v>
      </c>
      <c r="D410" s="2">
        <v>41420</v>
      </c>
      <c r="E410" s="9">
        <v>3975</v>
      </c>
      <c r="F410" s="9">
        <v>15050</v>
      </c>
      <c r="G410" s="3">
        <v>17.5</v>
      </c>
      <c r="H410" s="3">
        <v>16.600000000000001</v>
      </c>
      <c r="I410" s="3">
        <v>2.6</v>
      </c>
      <c r="J410" s="5">
        <f t="shared" si="6"/>
        <v>3824.9020161845115</v>
      </c>
      <c r="K410" s="2">
        <v>37.448582000000002</v>
      </c>
      <c r="L410">
        <v>-5.3540679999999998</v>
      </c>
    </row>
    <row r="411" spans="1:12" ht="34.200000000000003" customHeight="1" thickBot="1" x14ac:dyDescent="0.35">
      <c r="A411" s="1">
        <v>4104301</v>
      </c>
      <c r="B411" s="2" t="s">
        <v>626</v>
      </c>
      <c r="C411" s="2">
        <v>1</v>
      </c>
      <c r="D411" s="2">
        <v>41889</v>
      </c>
      <c r="E411" s="9">
        <v>809</v>
      </c>
      <c r="F411" s="9">
        <v>14350</v>
      </c>
      <c r="G411" s="3">
        <v>14.1</v>
      </c>
      <c r="H411" s="3">
        <v>18.7</v>
      </c>
      <c r="I411" s="3">
        <v>2.2999999999999998</v>
      </c>
      <c r="J411" s="5">
        <f t="shared" si="6"/>
        <v>746.15158929590007</v>
      </c>
      <c r="K411" s="2">
        <v>37.631157999999999</v>
      </c>
      <c r="L411">
        <v>-6.1792210000000001</v>
      </c>
    </row>
    <row r="412" spans="1:12" ht="34.200000000000003" customHeight="1" thickBot="1" x14ac:dyDescent="0.35">
      <c r="A412" s="1">
        <v>4104401</v>
      </c>
      <c r="B412" s="2" t="s">
        <v>453</v>
      </c>
      <c r="C412" s="2">
        <v>1</v>
      </c>
      <c r="D412" s="2">
        <v>41120</v>
      </c>
      <c r="E412" s="9">
        <v>10480</v>
      </c>
      <c r="F412" s="9">
        <v>18550</v>
      </c>
      <c r="G412" s="3">
        <v>18.600000000000001</v>
      </c>
      <c r="H412" s="3">
        <v>13.5</v>
      </c>
      <c r="I412" s="3">
        <v>2.7</v>
      </c>
      <c r="J412" s="5">
        <f t="shared" si="6"/>
        <v>12704.811315273153</v>
      </c>
      <c r="K412" s="2">
        <v>37.335278000000002</v>
      </c>
      <c r="L412">
        <v>-6.0992819999999996</v>
      </c>
    </row>
    <row r="413" spans="1:12" ht="34.200000000000003" customHeight="1" thickBot="1" x14ac:dyDescent="0.35">
      <c r="A413" s="1">
        <v>4104501</v>
      </c>
      <c r="B413" s="2" t="s">
        <v>454</v>
      </c>
      <c r="C413" s="2">
        <v>1</v>
      </c>
      <c r="D413" s="2">
        <v>41860</v>
      </c>
      <c r="E413" s="9">
        <v>2686</v>
      </c>
      <c r="F413" s="9">
        <v>15750</v>
      </c>
      <c r="G413" s="3">
        <v>16.3</v>
      </c>
      <c r="H413" s="3">
        <v>21.8</v>
      </c>
      <c r="I413" s="3">
        <v>2.5</v>
      </c>
      <c r="J413" s="5">
        <f t="shared" si="6"/>
        <v>2583.3934827077192</v>
      </c>
      <c r="K413" s="2">
        <v>37.521419999999999</v>
      </c>
      <c r="L413">
        <v>-6.1193770000000001</v>
      </c>
    </row>
    <row r="414" spans="1:12" ht="34.200000000000003" customHeight="1" thickBot="1" x14ac:dyDescent="0.35">
      <c r="A414" s="1">
        <v>4104502</v>
      </c>
      <c r="B414" s="2" t="s">
        <v>454</v>
      </c>
      <c r="C414" s="2">
        <v>2</v>
      </c>
      <c r="D414" s="2">
        <v>41860</v>
      </c>
      <c r="E414" s="9">
        <v>5200</v>
      </c>
      <c r="F414" s="9">
        <v>16450</v>
      </c>
      <c r="G414" s="3">
        <v>22</v>
      </c>
      <c r="H414" s="3">
        <v>13.4</v>
      </c>
      <c r="I414" s="3">
        <v>2.7</v>
      </c>
      <c r="J414" s="5">
        <f t="shared" si="6"/>
        <v>5776.4281810607599</v>
      </c>
      <c r="K414" s="2">
        <v>37.506895999999998</v>
      </c>
      <c r="L414">
        <v>-6.1617249999999997</v>
      </c>
    </row>
    <row r="415" spans="1:12" ht="34.200000000000003" customHeight="1" thickBot="1" x14ac:dyDescent="0.35">
      <c r="A415" s="1">
        <v>4104601</v>
      </c>
      <c r="B415" s="2" t="s">
        <v>455</v>
      </c>
      <c r="C415" s="2">
        <v>1</v>
      </c>
      <c r="D415" s="2">
        <v>41565</v>
      </c>
      <c r="E415" s="9">
        <v>1503</v>
      </c>
      <c r="F415" s="9">
        <v>15750</v>
      </c>
      <c r="G415" s="3">
        <v>14.9</v>
      </c>
      <c r="H415" s="3">
        <v>22.9</v>
      </c>
      <c r="I415" s="3">
        <v>2.4</v>
      </c>
      <c r="J415" s="5">
        <f t="shared" si="6"/>
        <v>1436.3620898311567</v>
      </c>
      <c r="K415" s="2">
        <v>37.251365999999997</v>
      </c>
      <c r="L415">
        <v>-4.9154660000000003</v>
      </c>
    </row>
    <row r="416" spans="1:12" ht="34.200000000000003" customHeight="1" thickBot="1" x14ac:dyDescent="0.35">
      <c r="A416" s="1">
        <v>4104602</v>
      </c>
      <c r="B416" s="2" t="s">
        <v>455</v>
      </c>
      <c r="C416" s="2">
        <v>2</v>
      </c>
      <c r="D416" s="2">
        <v>41565</v>
      </c>
      <c r="E416" s="9">
        <v>2154</v>
      </c>
      <c r="F416" s="9">
        <v>15750</v>
      </c>
      <c r="G416" s="3">
        <v>17.3</v>
      </c>
      <c r="H416" s="3">
        <v>15.5</v>
      </c>
      <c r="I416" s="3">
        <v>2.6</v>
      </c>
      <c r="J416" s="5">
        <f t="shared" si="6"/>
        <v>2188.4143308293656</v>
      </c>
      <c r="K416" s="2">
        <v>37.231752</v>
      </c>
      <c r="L416">
        <v>-4.9349410000000002</v>
      </c>
    </row>
    <row r="417" spans="1:12" ht="34.200000000000003" customHeight="1" thickBot="1" x14ac:dyDescent="0.35">
      <c r="A417" s="1">
        <v>4104701</v>
      </c>
      <c r="B417" s="2" t="s">
        <v>456</v>
      </c>
      <c r="C417" s="2">
        <v>1</v>
      </c>
      <c r="D417" s="2">
        <v>41960</v>
      </c>
      <c r="E417" s="9">
        <v>13465</v>
      </c>
      <c r="F417" s="9">
        <v>20650</v>
      </c>
      <c r="G417" s="3">
        <v>18.8</v>
      </c>
      <c r="H417" s="3">
        <v>16.5</v>
      </c>
      <c r="I417" s="3">
        <v>2.9</v>
      </c>
      <c r="J417" s="5">
        <f t="shared" si="6"/>
        <v>17066.530353597242</v>
      </c>
      <c r="K417" s="2">
        <v>37.385706999999996</v>
      </c>
      <c r="L417">
        <v>-6.077521</v>
      </c>
    </row>
    <row r="418" spans="1:12" ht="34.200000000000003" customHeight="1" thickBot="1" x14ac:dyDescent="0.35">
      <c r="A418" s="1">
        <v>4104801</v>
      </c>
      <c r="B418" s="2" t="s">
        <v>457</v>
      </c>
      <c r="C418" s="2">
        <v>1</v>
      </c>
      <c r="D418" s="2">
        <v>41390</v>
      </c>
      <c r="E418" s="9">
        <v>916</v>
      </c>
      <c r="F418" s="9">
        <v>14350</v>
      </c>
      <c r="G418" s="3">
        <v>12.9</v>
      </c>
      <c r="H418" s="3">
        <v>24.7</v>
      </c>
      <c r="I418" s="3">
        <v>2.2999999999999998</v>
      </c>
      <c r="J418" s="5">
        <f t="shared" si="6"/>
        <v>781.07768579791457</v>
      </c>
      <c r="K418" s="2">
        <v>38.093992999999998</v>
      </c>
      <c r="L418">
        <v>-5.820716</v>
      </c>
    </row>
    <row r="419" spans="1:12" ht="34.200000000000003" customHeight="1" thickBot="1" x14ac:dyDescent="0.35">
      <c r="A419" s="1">
        <v>4104802</v>
      </c>
      <c r="B419" s="2" t="s">
        <v>457</v>
      </c>
      <c r="C419" s="2">
        <v>2</v>
      </c>
      <c r="D419" s="2">
        <v>41390</v>
      </c>
      <c r="E419" s="9">
        <v>655</v>
      </c>
      <c r="F419" s="9">
        <v>13650</v>
      </c>
      <c r="G419" s="3">
        <v>11</v>
      </c>
      <c r="H419" s="3">
        <v>28.9</v>
      </c>
      <c r="I419" s="3">
        <v>2.2999999999999998</v>
      </c>
      <c r="J419" s="5">
        <f t="shared" si="6"/>
        <v>494.53311644555009</v>
      </c>
      <c r="K419" s="2">
        <v>38.093755000000002</v>
      </c>
      <c r="L419">
        <v>-5.8172949999999997</v>
      </c>
    </row>
    <row r="420" spans="1:12" ht="34.200000000000003" customHeight="1" thickBot="1" x14ac:dyDescent="0.35">
      <c r="A420" s="1">
        <v>4104803</v>
      </c>
      <c r="B420" s="2" t="s">
        <v>457</v>
      </c>
      <c r="C420" s="2">
        <v>3</v>
      </c>
      <c r="D420" s="2">
        <v>41390</v>
      </c>
      <c r="E420" s="9">
        <v>952</v>
      </c>
      <c r="F420" s="9">
        <v>12250</v>
      </c>
      <c r="G420" s="3">
        <v>16.600000000000001</v>
      </c>
      <c r="H420" s="3">
        <v>20.399999999999999</v>
      </c>
      <c r="I420" s="3">
        <v>2.4</v>
      </c>
      <c r="J420" s="5">
        <f t="shared" si="6"/>
        <v>739.91984805772552</v>
      </c>
      <c r="K420" s="2">
        <v>38.100313999999997</v>
      </c>
      <c r="L420">
        <v>-5.8109489999999999</v>
      </c>
    </row>
    <row r="421" spans="1:12" ht="34.200000000000003" customHeight="1" thickBot="1" x14ac:dyDescent="0.35">
      <c r="A421" s="1">
        <v>4104901</v>
      </c>
      <c r="B421" s="2" t="s">
        <v>458</v>
      </c>
      <c r="C421" s="2">
        <v>1</v>
      </c>
      <c r="D421" s="2">
        <v>41210</v>
      </c>
      <c r="E421" s="9">
        <v>13857</v>
      </c>
      <c r="F421" s="9">
        <v>15050</v>
      </c>
      <c r="G421" s="3">
        <v>21</v>
      </c>
      <c r="H421" s="3">
        <v>13.6</v>
      </c>
      <c r="I421" s="3">
        <v>2.7</v>
      </c>
      <c r="J421" s="5">
        <f t="shared" si="6"/>
        <v>13927.408219300596</v>
      </c>
      <c r="K421" s="2">
        <v>37.537854000000003</v>
      </c>
      <c r="L421">
        <v>-6.0510169999999999</v>
      </c>
    </row>
    <row r="422" spans="1:12" ht="34.200000000000003" customHeight="1" thickBot="1" x14ac:dyDescent="0.35">
      <c r="A422" s="1">
        <v>4105001</v>
      </c>
      <c r="B422" s="2" t="s">
        <v>459</v>
      </c>
      <c r="C422" s="2">
        <v>1</v>
      </c>
      <c r="D422" s="2">
        <v>41567</v>
      </c>
      <c r="E422" s="9">
        <v>964</v>
      </c>
      <c r="F422" s="9">
        <v>15750</v>
      </c>
      <c r="G422" s="3">
        <v>15.6</v>
      </c>
      <c r="H422" s="3">
        <v>25.8</v>
      </c>
      <c r="I422" s="3">
        <v>2.4</v>
      </c>
      <c r="J422" s="5">
        <f t="shared" si="6"/>
        <v>899.22939846995644</v>
      </c>
      <c r="K422" s="2">
        <v>37.362464000000003</v>
      </c>
      <c r="L422">
        <v>-4.8796309999999998</v>
      </c>
    </row>
    <row r="423" spans="1:12" ht="34.200000000000003" customHeight="1" thickBot="1" x14ac:dyDescent="0.35">
      <c r="A423" s="1">
        <v>4105002</v>
      </c>
      <c r="B423" s="2" t="s">
        <v>459</v>
      </c>
      <c r="C423" s="2">
        <v>2</v>
      </c>
      <c r="D423" s="2">
        <v>41567</v>
      </c>
      <c r="E423" s="9">
        <v>2467</v>
      </c>
      <c r="F423" s="9">
        <v>15050</v>
      </c>
      <c r="G423" s="3">
        <v>14.9</v>
      </c>
      <c r="H423" s="3">
        <v>23</v>
      </c>
      <c r="I423" s="3">
        <v>2.4</v>
      </c>
      <c r="J423" s="5">
        <f t="shared" si="6"/>
        <v>2250.389687234504</v>
      </c>
      <c r="K423" s="2">
        <v>37.392744999999998</v>
      </c>
      <c r="L423">
        <v>-4.8811059999999999</v>
      </c>
    </row>
    <row r="424" spans="1:12" ht="34.200000000000003" customHeight="1" thickBot="1" x14ac:dyDescent="0.35">
      <c r="A424" s="1">
        <v>4105003</v>
      </c>
      <c r="B424" s="2" t="s">
        <v>459</v>
      </c>
      <c r="C424" s="2">
        <v>3</v>
      </c>
      <c r="D424" s="2">
        <v>41567</v>
      </c>
      <c r="E424" s="9">
        <v>3087</v>
      </c>
      <c r="F424" s="9">
        <v>15050</v>
      </c>
      <c r="G424" s="3">
        <v>21.4</v>
      </c>
      <c r="H424" s="3">
        <v>12.4</v>
      </c>
      <c r="I424" s="3">
        <v>2.9</v>
      </c>
      <c r="J424" s="5">
        <f t="shared" si="6"/>
        <v>3038.3850981779933</v>
      </c>
      <c r="K424" s="2">
        <v>37.35275</v>
      </c>
      <c r="L424">
        <v>-4.8364739999999999</v>
      </c>
    </row>
    <row r="425" spans="1:12" ht="34.200000000000003" customHeight="1" thickBot="1" x14ac:dyDescent="0.35">
      <c r="A425" s="1">
        <v>4105101</v>
      </c>
      <c r="B425" s="2" t="s">
        <v>460</v>
      </c>
      <c r="C425" s="2">
        <v>1</v>
      </c>
      <c r="D425" s="2">
        <v>41830</v>
      </c>
      <c r="E425" s="9">
        <v>3353</v>
      </c>
      <c r="F425" s="9">
        <v>17150</v>
      </c>
      <c r="G425" s="3">
        <v>18</v>
      </c>
      <c r="H425" s="3">
        <v>15</v>
      </c>
      <c r="I425" s="3">
        <v>2.7</v>
      </c>
      <c r="J425" s="5">
        <f t="shared" si="6"/>
        <v>3682.9447976841543</v>
      </c>
      <c r="K425" s="2">
        <v>37.347011000000002</v>
      </c>
      <c r="L425">
        <v>-6.2985850000000001</v>
      </c>
    </row>
    <row r="426" spans="1:12" ht="34.200000000000003" customHeight="1" thickBot="1" x14ac:dyDescent="0.35">
      <c r="A426" s="1">
        <v>4190201</v>
      </c>
      <c r="B426" s="2" t="s">
        <v>518</v>
      </c>
      <c r="C426" s="2">
        <v>1</v>
      </c>
      <c r="D426" s="2">
        <v>41140</v>
      </c>
      <c r="E426" s="9">
        <v>5785</v>
      </c>
      <c r="F426" s="9">
        <v>12950</v>
      </c>
      <c r="G426" s="3">
        <v>17.899999999999999</v>
      </c>
      <c r="H426" s="3">
        <v>18.100000000000001</v>
      </c>
      <c r="I426" s="3">
        <v>2.5</v>
      </c>
      <c r="J426" s="5">
        <f t="shared" si="6"/>
        <v>4831.4318465390579</v>
      </c>
      <c r="K426" s="2">
        <v>37.164977</v>
      </c>
      <c r="L426">
        <v>-6.157108</v>
      </c>
    </row>
    <row r="427" spans="1:12" ht="34.200000000000003" customHeight="1" thickBot="1" x14ac:dyDescent="0.35">
      <c r="A427" s="1">
        <v>4105201</v>
      </c>
      <c r="B427" s="2" t="s">
        <v>461</v>
      </c>
      <c r="C427" s="2">
        <v>1</v>
      </c>
      <c r="D427" s="2">
        <v>41630</v>
      </c>
      <c r="E427" s="9">
        <v>3860</v>
      </c>
      <c r="F427" s="9">
        <v>14350</v>
      </c>
      <c r="G427" s="3">
        <v>19.100000000000001</v>
      </c>
      <c r="H427" s="3">
        <v>16.600000000000001</v>
      </c>
      <c r="I427" s="3">
        <v>2.5</v>
      </c>
      <c r="J427" s="5">
        <f t="shared" si="6"/>
        <v>3668.8947711775404</v>
      </c>
      <c r="K427" s="2">
        <v>37.348590000000002</v>
      </c>
      <c r="L427">
        <v>-5.2249359999999996</v>
      </c>
    </row>
    <row r="428" spans="1:12" ht="34.200000000000003" customHeight="1" thickBot="1" x14ac:dyDescent="0.35">
      <c r="A428" s="1">
        <v>4105301</v>
      </c>
      <c r="B428" s="2" t="s">
        <v>462</v>
      </c>
      <c r="C428" s="2">
        <v>1</v>
      </c>
      <c r="D428" s="2">
        <v>41740</v>
      </c>
      <c r="E428" s="9">
        <v>9129</v>
      </c>
      <c r="F428" s="9">
        <v>15050</v>
      </c>
      <c r="G428" s="3">
        <v>19.3</v>
      </c>
      <c r="H428" s="3">
        <v>13.8</v>
      </c>
      <c r="I428" s="3">
        <v>2.7</v>
      </c>
      <c r="J428" s="5">
        <f t="shared" si="6"/>
        <v>9013.0643867055023</v>
      </c>
      <c r="K428" s="2">
        <v>36.918325000000003</v>
      </c>
      <c r="L428">
        <v>-6.0752540000000002</v>
      </c>
    </row>
    <row r="429" spans="1:12" ht="34.200000000000003" customHeight="1" thickBot="1" x14ac:dyDescent="0.35">
      <c r="A429" s="1">
        <v>4105302</v>
      </c>
      <c r="B429" s="2" t="s">
        <v>462</v>
      </c>
      <c r="C429" s="2">
        <v>2</v>
      </c>
      <c r="D429" s="2">
        <v>41740</v>
      </c>
      <c r="E429" s="9">
        <v>4426</v>
      </c>
      <c r="F429" s="9">
        <v>14350</v>
      </c>
      <c r="G429" s="3">
        <v>19.7</v>
      </c>
      <c r="H429" s="3">
        <v>20.3</v>
      </c>
      <c r="I429" s="3">
        <v>2.6</v>
      </c>
      <c r="J429" s="5">
        <f t="shared" si="6"/>
        <v>4000.416501614618</v>
      </c>
      <c r="K429" s="2">
        <v>36.915283000000002</v>
      </c>
      <c r="L429">
        <v>-6.0800700000000001</v>
      </c>
    </row>
    <row r="430" spans="1:12" ht="34.200000000000003" customHeight="1" thickBot="1" x14ac:dyDescent="0.35">
      <c r="A430" s="1">
        <v>4105303</v>
      </c>
      <c r="B430" s="2" t="s">
        <v>462</v>
      </c>
      <c r="C430" s="2">
        <v>3</v>
      </c>
      <c r="D430" s="2">
        <v>41740</v>
      </c>
      <c r="E430" s="9">
        <v>5578</v>
      </c>
      <c r="F430" s="9">
        <v>15050</v>
      </c>
      <c r="G430" s="3">
        <v>19.399999999999999</v>
      </c>
      <c r="H430" s="3">
        <v>14.9</v>
      </c>
      <c r="I430" s="3">
        <v>2.7</v>
      </c>
      <c r="J430" s="5">
        <f t="shared" si="6"/>
        <v>5454.9604630366775</v>
      </c>
      <c r="K430" s="2">
        <v>36.921317999999999</v>
      </c>
      <c r="L430">
        <v>-6.0688550000000001</v>
      </c>
    </row>
    <row r="431" spans="1:12" ht="34.200000000000003" customHeight="1" thickBot="1" x14ac:dyDescent="0.35">
      <c r="A431" s="1">
        <v>4105304</v>
      </c>
      <c r="B431" s="2" t="s">
        <v>462</v>
      </c>
      <c r="C431" s="2">
        <v>4</v>
      </c>
      <c r="D431" s="2">
        <v>41740</v>
      </c>
      <c r="E431" s="9">
        <v>8458</v>
      </c>
      <c r="F431" s="9">
        <v>13650</v>
      </c>
      <c r="G431" s="3">
        <v>18.399999999999999</v>
      </c>
      <c r="H431" s="3">
        <v>16.600000000000001</v>
      </c>
      <c r="I431" s="3">
        <v>2.6</v>
      </c>
      <c r="J431" s="5">
        <f t="shared" si="6"/>
        <v>7447.3819044262482</v>
      </c>
      <c r="K431" s="2">
        <v>36.922451000000002</v>
      </c>
      <c r="L431">
        <v>-6.0783009999999997</v>
      </c>
    </row>
    <row r="432" spans="1:12" ht="34.200000000000003" customHeight="1" thickBot="1" x14ac:dyDescent="0.35">
      <c r="A432" s="1">
        <v>4105401</v>
      </c>
      <c r="B432" s="2" t="s">
        <v>463</v>
      </c>
      <c r="C432" s="2">
        <v>1</v>
      </c>
      <c r="D432" s="2">
        <v>41564</v>
      </c>
      <c r="E432" s="9">
        <v>891</v>
      </c>
      <c r="F432" s="9">
        <v>15050</v>
      </c>
      <c r="G432" s="3">
        <v>12.6</v>
      </c>
      <c r="H432" s="3">
        <v>20.8</v>
      </c>
      <c r="I432" s="3">
        <v>2.1</v>
      </c>
      <c r="J432" s="5">
        <f t="shared" si="6"/>
        <v>867.93944642790518</v>
      </c>
      <c r="K432" s="2">
        <v>37.270845999999999</v>
      </c>
      <c r="L432">
        <v>-4.819051</v>
      </c>
    </row>
    <row r="433" spans="1:12" ht="34.200000000000003" customHeight="1" thickBot="1" x14ac:dyDescent="0.35">
      <c r="A433" s="1">
        <v>4105501</v>
      </c>
      <c r="B433" s="2" t="s">
        <v>464</v>
      </c>
      <c r="C433" s="2">
        <v>1</v>
      </c>
      <c r="D433" s="2">
        <v>41440</v>
      </c>
      <c r="E433" s="9">
        <v>5307</v>
      </c>
      <c r="F433" s="9">
        <v>15050</v>
      </c>
      <c r="G433" s="3">
        <v>17.2</v>
      </c>
      <c r="H433" s="3">
        <v>20.8</v>
      </c>
      <c r="I433" s="3">
        <v>2.6</v>
      </c>
      <c r="J433" s="5">
        <f t="shared" si="6"/>
        <v>4878.8575324956191</v>
      </c>
      <c r="K433" s="2">
        <v>37.651287000000004</v>
      </c>
      <c r="L433">
        <v>-5.5332929999999996</v>
      </c>
    </row>
    <row r="434" spans="1:12" ht="34.200000000000003" customHeight="1" thickBot="1" x14ac:dyDescent="0.35">
      <c r="A434" s="1">
        <v>4105502</v>
      </c>
      <c r="B434" s="2" t="s">
        <v>464</v>
      </c>
      <c r="C434" s="2">
        <v>2</v>
      </c>
      <c r="D434" s="2">
        <v>41440</v>
      </c>
      <c r="E434" s="9">
        <v>9175</v>
      </c>
      <c r="F434" s="9">
        <v>14350</v>
      </c>
      <c r="G434" s="3">
        <v>19.3</v>
      </c>
      <c r="H434" s="3">
        <v>17.7</v>
      </c>
      <c r="I434" s="3">
        <v>2.6</v>
      </c>
      <c r="J434" s="5">
        <f t="shared" si="6"/>
        <v>8476.3171311536516</v>
      </c>
      <c r="K434" s="2">
        <v>37.657829</v>
      </c>
      <c r="L434">
        <v>-5.5292349999999999</v>
      </c>
    </row>
    <row r="435" spans="1:12" ht="34.200000000000003" customHeight="1" thickBot="1" x14ac:dyDescent="0.35">
      <c r="A435" s="1">
        <v>4105503</v>
      </c>
      <c r="B435" s="2" t="s">
        <v>464</v>
      </c>
      <c r="C435" s="2">
        <v>3</v>
      </c>
      <c r="D435" s="2">
        <v>41440</v>
      </c>
      <c r="E435" s="9">
        <v>3777</v>
      </c>
      <c r="F435" s="9">
        <v>13650</v>
      </c>
      <c r="G435" s="3">
        <v>17.100000000000001</v>
      </c>
      <c r="H435" s="3">
        <v>18.2</v>
      </c>
      <c r="I435" s="3">
        <v>2.5</v>
      </c>
      <c r="J435" s="5">
        <f t="shared" si="6"/>
        <v>3294.9445661045502</v>
      </c>
      <c r="K435" s="2">
        <v>37.659092999999999</v>
      </c>
      <c r="L435">
        <v>-5.5343299999999997</v>
      </c>
    </row>
    <row r="436" spans="1:12" ht="34.200000000000003" customHeight="1" thickBot="1" x14ac:dyDescent="0.35">
      <c r="A436" s="1">
        <v>4105601</v>
      </c>
      <c r="B436" s="2" t="s">
        <v>627</v>
      </c>
      <c r="C436" s="2">
        <v>1</v>
      </c>
      <c r="D436" s="2">
        <v>41430</v>
      </c>
      <c r="E436" s="9">
        <v>4631</v>
      </c>
      <c r="F436" s="9">
        <v>15050</v>
      </c>
      <c r="G436" s="3">
        <v>17.8</v>
      </c>
      <c r="H436" s="3">
        <v>18.600000000000001</v>
      </c>
      <c r="I436" s="3">
        <v>2.5</v>
      </c>
      <c r="J436" s="5">
        <f t="shared" si="6"/>
        <v>4467.8145459256357</v>
      </c>
      <c r="K436" s="2">
        <v>37.527847999999999</v>
      </c>
      <c r="L436">
        <v>-5.2493090000000002</v>
      </c>
    </row>
    <row r="437" spans="1:12" ht="34.200000000000003" customHeight="1" thickBot="1" x14ac:dyDescent="0.35">
      <c r="A437" s="1">
        <v>4105701</v>
      </c>
      <c r="B437" s="2" t="s">
        <v>628</v>
      </c>
      <c r="C437" s="2">
        <v>1</v>
      </c>
      <c r="D437" s="2">
        <v>41897</v>
      </c>
      <c r="E437" s="9">
        <v>305</v>
      </c>
      <c r="F437" s="9">
        <v>17150</v>
      </c>
      <c r="G437" s="3">
        <v>9.5</v>
      </c>
      <c r="H437" s="3">
        <v>36.4</v>
      </c>
      <c r="I437" s="3">
        <v>1.8</v>
      </c>
      <c r="J437" s="5">
        <f t="shared" si="6"/>
        <v>291.19725525523296</v>
      </c>
      <c r="K437" s="2">
        <v>37.650185</v>
      </c>
      <c r="L437">
        <v>-6.4475930000000004</v>
      </c>
    </row>
    <row r="438" spans="1:12" ht="34.200000000000003" customHeight="1" thickBot="1" x14ac:dyDescent="0.35">
      <c r="A438" s="1">
        <v>4105801</v>
      </c>
      <c r="B438" s="2" t="s">
        <v>465</v>
      </c>
      <c r="C438" s="2">
        <v>1</v>
      </c>
      <c r="D438" s="2">
        <v>41510</v>
      </c>
      <c r="E438" s="9">
        <v>3999</v>
      </c>
      <c r="F438" s="9">
        <v>17850</v>
      </c>
      <c r="G438" s="3">
        <v>17.600000000000001</v>
      </c>
      <c r="H438" s="3">
        <v>16.600000000000001</v>
      </c>
      <c r="I438" s="3">
        <v>2.8</v>
      </c>
      <c r="J438" s="5">
        <f t="shared" si="6"/>
        <v>4402.2446231032018</v>
      </c>
      <c r="K438" s="2">
        <v>37.375990999999999</v>
      </c>
      <c r="L438">
        <v>-5.7531470000000002</v>
      </c>
    </row>
    <row r="439" spans="1:12" ht="34.200000000000003" customHeight="1" thickBot="1" x14ac:dyDescent="0.35">
      <c r="A439" s="1">
        <v>4105802</v>
      </c>
      <c r="B439" s="2" t="s">
        <v>465</v>
      </c>
      <c r="C439" s="2">
        <v>2</v>
      </c>
      <c r="D439" s="2">
        <v>41510</v>
      </c>
      <c r="E439" s="9">
        <v>8984</v>
      </c>
      <c r="F439" s="9">
        <v>16450</v>
      </c>
      <c r="G439" s="3">
        <v>20.399999999999999</v>
      </c>
      <c r="H439" s="3">
        <v>15.9</v>
      </c>
      <c r="I439" s="3">
        <v>2.8</v>
      </c>
      <c r="J439" s="5">
        <f t="shared" si="6"/>
        <v>9430.0741854984444</v>
      </c>
      <c r="K439" s="2">
        <v>37.371414999999999</v>
      </c>
      <c r="L439">
        <v>-5.7514969999999996</v>
      </c>
    </row>
    <row r="440" spans="1:12" ht="34.200000000000003" customHeight="1" thickBot="1" x14ac:dyDescent="0.35">
      <c r="A440" s="1">
        <v>4105803</v>
      </c>
      <c r="B440" s="2" t="s">
        <v>465</v>
      </c>
      <c r="C440" s="2">
        <v>3</v>
      </c>
      <c r="D440" s="2">
        <v>41510</v>
      </c>
      <c r="E440" s="9">
        <v>11214</v>
      </c>
      <c r="F440" s="9">
        <v>17150</v>
      </c>
      <c r="G440" s="3">
        <v>22.4</v>
      </c>
      <c r="H440" s="3">
        <v>13</v>
      </c>
      <c r="I440" s="3">
        <v>2.9</v>
      </c>
      <c r="J440" s="5">
        <f t="shared" si="6"/>
        <v>12623.657071440091</v>
      </c>
      <c r="K440" s="2">
        <v>37.378239999999998</v>
      </c>
      <c r="L440">
        <v>-5.7469060000000001</v>
      </c>
    </row>
    <row r="441" spans="1:12" ht="34.200000000000003" customHeight="1" thickBot="1" x14ac:dyDescent="0.35">
      <c r="A441" s="1">
        <v>4105901</v>
      </c>
      <c r="B441" s="2" t="s">
        <v>466</v>
      </c>
      <c r="C441" s="2">
        <v>1</v>
      </c>
      <c r="D441" s="2">
        <v>41927</v>
      </c>
      <c r="E441" s="9">
        <v>47538</v>
      </c>
      <c r="F441" s="9">
        <v>20650</v>
      </c>
      <c r="G441" s="3">
        <v>20.100000000000001</v>
      </c>
      <c r="H441" s="3">
        <v>16.100000000000001</v>
      </c>
      <c r="I441" s="3">
        <v>2.8</v>
      </c>
      <c r="J441" s="5">
        <f t="shared" si="6"/>
        <v>62338.661758428301</v>
      </c>
      <c r="K441" s="2">
        <v>37.344051999999998</v>
      </c>
      <c r="L441">
        <v>-6.0627599999999999</v>
      </c>
    </row>
    <row r="442" spans="1:12" ht="34.200000000000003" customHeight="1" thickBot="1" x14ac:dyDescent="0.35">
      <c r="A442" s="1">
        <v>4106001</v>
      </c>
      <c r="B442" s="2" t="s">
        <v>468</v>
      </c>
      <c r="C442" s="2">
        <v>1</v>
      </c>
      <c r="D442" s="2">
        <v>41620</v>
      </c>
      <c r="E442" s="9">
        <v>6165</v>
      </c>
      <c r="F442" s="9">
        <v>15750</v>
      </c>
      <c r="G442" s="3">
        <v>19.100000000000001</v>
      </c>
      <c r="H442" s="3">
        <v>19.2</v>
      </c>
      <c r="I442" s="3">
        <v>2.7</v>
      </c>
      <c r="J442" s="5">
        <f t="shared" si="6"/>
        <v>6031.6958528219993</v>
      </c>
      <c r="K442" s="2">
        <v>37.339709999999997</v>
      </c>
      <c r="L442">
        <v>-5.4189309999999997</v>
      </c>
    </row>
    <row r="443" spans="1:12" ht="34.200000000000003" customHeight="1" thickBot="1" x14ac:dyDescent="0.35">
      <c r="A443" s="1">
        <v>4106002</v>
      </c>
      <c r="B443" s="2" t="s">
        <v>468</v>
      </c>
      <c r="C443" s="2">
        <v>2</v>
      </c>
      <c r="D443" s="2">
        <v>41620</v>
      </c>
      <c r="E443" s="9">
        <v>3409</v>
      </c>
      <c r="F443" s="9">
        <v>16450</v>
      </c>
      <c r="G443" s="3">
        <v>17.5</v>
      </c>
      <c r="H443" s="3">
        <v>22.7</v>
      </c>
      <c r="I443" s="3">
        <v>2.5</v>
      </c>
      <c r="J443" s="5">
        <f t="shared" si="6"/>
        <v>3435.3692622046174</v>
      </c>
      <c r="K443" s="2">
        <v>37.326439000000001</v>
      </c>
      <c r="L443">
        <v>-5.4167100000000001</v>
      </c>
    </row>
    <row r="444" spans="1:12" ht="34.200000000000003" customHeight="1" thickBot="1" x14ac:dyDescent="0.35">
      <c r="A444" s="1">
        <v>4106003</v>
      </c>
      <c r="B444" s="2" t="s">
        <v>468</v>
      </c>
      <c r="C444" s="2">
        <v>3</v>
      </c>
      <c r="D444" s="2">
        <v>41620</v>
      </c>
      <c r="E444" s="9">
        <v>9713</v>
      </c>
      <c r="F444" s="9">
        <v>15050</v>
      </c>
      <c r="G444" s="3">
        <v>20.8</v>
      </c>
      <c r="H444" s="3">
        <v>16.3</v>
      </c>
      <c r="I444" s="3">
        <v>2.7</v>
      </c>
      <c r="J444" s="5">
        <f t="shared" si="6"/>
        <v>9498.7506234268985</v>
      </c>
      <c r="K444" s="2">
        <v>37.329332999999998</v>
      </c>
      <c r="L444">
        <v>-5.4187630000000002</v>
      </c>
    </row>
    <row r="445" spans="1:12" ht="34.200000000000003" customHeight="1" thickBot="1" x14ac:dyDescent="0.35">
      <c r="A445" s="1">
        <v>4106101</v>
      </c>
      <c r="B445" s="2" t="s">
        <v>467</v>
      </c>
      <c r="C445" s="2">
        <v>1</v>
      </c>
      <c r="D445" s="2">
        <v>41569</v>
      </c>
      <c r="E445" s="9">
        <v>2559</v>
      </c>
      <c r="F445" s="9">
        <v>13650</v>
      </c>
      <c r="G445" s="3">
        <v>16.8</v>
      </c>
      <c r="H445" s="3">
        <v>18.5</v>
      </c>
      <c r="I445" s="3">
        <v>2.6</v>
      </c>
      <c r="J445" s="5">
        <f t="shared" si="6"/>
        <v>2175.7649189080485</v>
      </c>
      <c r="K445" s="2">
        <v>37.360812000000003</v>
      </c>
      <c r="L445">
        <v>-4.961246</v>
      </c>
    </row>
    <row r="446" spans="1:12" ht="34.200000000000003" customHeight="1" thickBot="1" x14ac:dyDescent="0.35">
      <c r="A446" s="1">
        <v>4106201</v>
      </c>
      <c r="B446" s="2" t="s">
        <v>504</v>
      </c>
      <c r="C446" s="2">
        <v>1</v>
      </c>
      <c r="D446" s="2">
        <v>41658</v>
      </c>
      <c r="E446" s="9">
        <v>2645</v>
      </c>
      <c r="F446" s="9">
        <v>13650</v>
      </c>
      <c r="G446" s="3">
        <v>15.8</v>
      </c>
      <c r="H446" s="3">
        <v>19.5</v>
      </c>
      <c r="I446" s="3">
        <v>2.4</v>
      </c>
      <c r="J446" s="5">
        <f t="shared" si="6"/>
        <v>2293.0904361261569</v>
      </c>
      <c r="K446" s="2">
        <v>37.117663999999998</v>
      </c>
      <c r="L446">
        <v>-4.933751</v>
      </c>
    </row>
    <row r="447" spans="1:12" ht="34.200000000000003" customHeight="1" thickBot="1" x14ac:dyDescent="0.35">
      <c r="A447" s="1">
        <v>4106301</v>
      </c>
      <c r="B447" s="2" t="s">
        <v>629</v>
      </c>
      <c r="C447" s="2">
        <v>1</v>
      </c>
      <c r="D447" s="2">
        <v>41750</v>
      </c>
      <c r="E447" s="9">
        <v>3629</v>
      </c>
      <c r="F447" s="9">
        <v>14350</v>
      </c>
      <c r="G447" s="3">
        <v>19.600000000000001</v>
      </c>
      <c r="H447" s="3">
        <v>15</v>
      </c>
      <c r="I447" s="3">
        <v>2.7</v>
      </c>
      <c r="J447" s="5">
        <f t="shared" si="6"/>
        <v>3387.122163998104</v>
      </c>
      <c r="K447" s="2">
        <v>37.151138000000003</v>
      </c>
      <c r="L447">
        <v>-5.7242749999999996</v>
      </c>
    </row>
    <row r="448" spans="1:12" ht="34.200000000000003" customHeight="1" thickBot="1" x14ac:dyDescent="0.35">
      <c r="A448" s="1">
        <v>4106401</v>
      </c>
      <c r="B448" s="2" t="s">
        <v>469</v>
      </c>
      <c r="C448" s="2">
        <v>1</v>
      </c>
      <c r="D448" s="2">
        <v>41770</v>
      </c>
      <c r="E448" s="9">
        <v>1732</v>
      </c>
      <c r="F448" s="9">
        <v>13650</v>
      </c>
      <c r="G448" s="3">
        <v>18.8</v>
      </c>
      <c r="H448" s="3">
        <v>16.899999999999999</v>
      </c>
      <c r="I448" s="3">
        <v>2.4</v>
      </c>
      <c r="J448" s="5">
        <f t="shared" si="6"/>
        <v>1588.8807053581943</v>
      </c>
      <c r="K448" s="2">
        <v>36.989432000000001</v>
      </c>
      <c r="L448">
        <v>-5.5725439999999997</v>
      </c>
    </row>
    <row r="449" spans="1:12" ht="34.200000000000003" customHeight="1" thickBot="1" x14ac:dyDescent="0.35">
      <c r="A449" s="1">
        <v>4106402</v>
      </c>
      <c r="B449" s="2" t="s">
        <v>469</v>
      </c>
      <c r="C449" s="2">
        <v>2</v>
      </c>
      <c r="D449" s="2">
        <v>41770</v>
      </c>
      <c r="E449" s="9">
        <v>3533</v>
      </c>
      <c r="F449" s="9">
        <v>13650</v>
      </c>
      <c r="G449" s="3">
        <v>17.8</v>
      </c>
      <c r="H449" s="3">
        <v>18.100000000000001</v>
      </c>
      <c r="I449" s="3">
        <v>2.5</v>
      </c>
      <c r="J449" s="5">
        <f t="shared" si="6"/>
        <v>3107.0170163006287</v>
      </c>
      <c r="K449" s="2">
        <v>36.994084999999998</v>
      </c>
      <c r="L449">
        <v>-5.5550560000000004</v>
      </c>
    </row>
    <row r="450" spans="1:12" ht="34.200000000000003" customHeight="1" thickBot="1" x14ac:dyDescent="0.35">
      <c r="A450" s="1">
        <v>4106403</v>
      </c>
      <c r="B450" s="2" t="s">
        <v>469</v>
      </c>
      <c r="C450" s="2">
        <v>3</v>
      </c>
      <c r="D450" s="2">
        <v>41770</v>
      </c>
      <c r="E450" s="9">
        <v>1760</v>
      </c>
      <c r="F450" s="9">
        <v>13650</v>
      </c>
      <c r="G450" s="3">
        <v>18.399999999999999</v>
      </c>
      <c r="H450" s="3">
        <v>17.7</v>
      </c>
      <c r="I450" s="3">
        <v>2.4</v>
      </c>
      <c r="J450" s="5">
        <f t="shared" si="6"/>
        <v>1595.5534519195533</v>
      </c>
      <c r="K450" s="2">
        <v>37.005074999999998</v>
      </c>
      <c r="L450">
        <v>-5.5464120000000001</v>
      </c>
    </row>
    <row r="451" spans="1:12" ht="34.200000000000003" customHeight="1" thickBot="1" x14ac:dyDescent="0.35">
      <c r="A451" s="1">
        <v>4106501</v>
      </c>
      <c r="B451" s="2" t="s">
        <v>470</v>
      </c>
      <c r="C451" s="2">
        <v>1</v>
      </c>
      <c r="D451" s="2">
        <v>41530</v>
      </c>
      <c r="E451" s="9">
        <v>7383</v>
      </c>
      <c r="F451" s="9">
        <v>15050</v>
      </c>
      <c r="G451" s="3">
        <v>17.5</v>
      </c>
      <c r="H451" s="3">
        <v>20.6</v>
      </c>
      <c r="I451" s="3">
        <v>2.5</v>
      </c>
      <c r="J451" s="5">
        <f t="shared" si="6"/>
        <v>6957.6940886625134</v>
      </c>
      <c r="K451" s="2">
        <v>37.125864999999997</v>
      </c>
      <c r="L451">
        <v>-5.4553149999999997</v>
      </c>
    </row>
    <row r="452" spans="1:12" ht="34.200000000000003" customHeight="1" thickBot="1" x14ac:dyDescent="0.35">
      <c r="A452" s="1">
        <v>4106502</v>
      </c>
      <c r="B452" s="2" t="s">
        <v>470</v>
      </c>
      <c r="C452" s="2">
        <v>2</v>
      </c>
      <c r="D452" s="2">
        <v>41530</v>
      </c>
      <c r="E452" s="9">
        <v>7851</v>
      </c>
      <c r="F452" s="9">
        <v>17850</v>
      </c>
      <c r="G452" s="3">
        <v>15.7</v>
      </c>
      <c r="H452" s="3">
        <v>21.7</v>
      </c>
      <c r="I452" s="3">
        <v>2.6</v>
      </c>
      <c r="J452" s="5">
        <f t="shared" si="6"/>
        <v>8347.3104594925153</v>
      </c>
      <c r="K452" s="2">
        <v>37.121946000000001</v>
      </c>
      <c r="L452">
        <v>-5.4560899999999997</v>
      </c>
    </row>
    <row r="453" spans="1:12" ht="34.200000000000003" customHeight="1" thickBot="1" x14ac:dyDescent="0.35">
      <c r="A453" s="1">
        <v>4106503</v>
      </c>
      <c r="B453" s="2" t="s">
        <v>470</v>
      </c>
      <c r="C453" s="2">
        <v>3</v>
      </c>
      <c r="D453" s="2">
        <v>41530</v>
      </c>
      <c r="E453" s="9">
        <v>6145</v>
      </c>
      <c r="F453" s="9">
        <v>14350</v>
      </c>
      <c r="G453" s="3">
        <v>17.8</v>
      </c>
      <c r="H453" s="3">
        <v>17</v>
      </c>
      <c r="I453" s="3">
        <v>2.5</v>
      </c>
      <c r="J453" s="5">
        <f t="shared" si="6"/>
        <v>5743.8951689212863</v>
      </c>
      <c r="K453" s="2">
        <v>37.124392999999998</v>
      </c>
      <c r="L453">
        <v>-5.4495079999999998</v>
      </c>
    </row>
    <row r="454" spans="1:12" ht="34.200000000000003" customHeight="1" thickBot="1" x14ac:dyDescent="0.35">
      <c r="A454" s="1">
        <v>4106504</v>
      </c>
      <c r="B454" s="2" t="s">
        <v>470</v>
      </c>
      <c r="C454" s="2">
        <v>4</v>
      </c>
      <c r="D454" s="2">
        <v>41530</v>
      </c>
      <c r="E454" s="9">
        <v>4354</v>
      </c>
      <c r="F454" s="9">
        <v>14350</v>
      </c>
      <c r="G454" s="3">
        <v>15.6</v>
      </c>
      <c r="H454" s="3">
        <v>23.1</v>
      </c>
      <c r="I454" s="3">
        <v>2.6</v>
      </c>
      <c r="J454" s="5">
        <f t="shared" si="6"/>
        <v>3662.1621821820645</v>
      </c>
      <c r="K454" s="2">
        <v>37.119599000000001</v>
      </c>
      <c r="L454">
        <v>-5.4521920000000001</v>
      </c>
    </row>
    <row r="455" spans="1:12" ht="34.200000000000003" customHeight="1" thickBot="1" x14ac:dyDescent="0.35">
      <c r="A455" s="1">
        <v>4106505</v>
      </c>
      <c r="B455" s="2" t="s">
        <v>470</v>
      </c>
      <c r="C455" s="2">
        <v>5</v>
      </c>
      <c r="D455" s="2">
        <v>41530</v>
      </c>
      <c r="E455" s="9">
        <v>1264</v>
      </c>
      <c r="F455" s="9">
        <v>15050</v>
      </c>
      <c r="G455" s="3">
        <v>15.5</v>
      </c>
      <c r="H455" s="3">
        <v>15.7</v>
      </c>
      <c r="I455" s="3">
        <v>2.4</v>
      </c>
      <c r="J455" s="5">
        <f t="shared" si="6"/>
        <v>1252.1336393539816</v>
      </c>
      <c r="K455" s="2">
        <v>37.114100000000001</v>
      </c>
      <c r="L455">
        <v>-5.4265699999999999</v>
      </c>
    </row>
    <row r="456" spans="1:12" ht="34.200000000000003" customHeight="1" thickBot="1" x14ac:dyDescent="0.35">
      <c r="A456" s="1">
        <v>4106601</v>
      </c>
      <c r="B456" s="2" t="s">
        <v>630</v>
      </c>
      <c r="C456" s="2">
        <v>1</v>
      </c>
      <c r="D456" s="2">
        <v>41460</v>
      </c>
      <c r="E456" s="9">
        <v>719</v>
      </c>
      <c r="F456" s="9">
        <v>14350</v>
      </c>
      <c r="G456" s="3">
        <v>15.7</v>
      </c>
      <c r="H456" s="3">
        <v>26.7</v>
      </c>
      <c r="I456" s="3">
        <v>2.2000000000000002</v>
      </c>
      <c r="J456" s="5">
        <f t="shared" ref="J456:J519" si="7">E456*(F456/$H$1)*(1+(G456/100)-(H456/100))*($H$2/I456)^0.5</f>
        <v>632.5598847688218</v>
      </c>
      <c r="K456" s="2">
        <v>37.920827000000003</v>
      </c>
      <c r="L456">
        <v>-5.4656960000000003</v>
      </c>
    </row>
    <row r="457" spans="1:12" ht="34.200000000000003" customHeight="1" thickBot="1" x14ac:dyDescent="0.35">
      <c r="A457" s="1">
        <v>4106602</v>
      </c>
      <c r="B457" s="2" t="s">
        <v>630</v>
      </c>
      <c r="C457" s="2">
        <v>2</v>
      </c>
      <c r="D457" s="2">
        <v>41460</v>
      </c>
      <c r="E457" s="9">
        <v>802</v>
      </c>
      <c r="F457" s="9">
        <v>13650</v>
      </c>
      <c r="G457" s="3">
        <v>16</v>
      </c>
      <c r="H457" s="3">
        <v>20</v>
      </c>
      <c r="I457" s="3">
        <v>2.2000000000000002</v>
      </c>
      <c r="J457" s="5">
        <f t="shared" si="7"/>
        <v>723.95088153658958</v>
      </c>
      <c r="K457" s="2">
        <v>37.949297000000001</v>
      </c>
      <c r="L457">
        <v>-5.4589629999999998</v>
      </c>
    </row>
    <row r="458" spans="1:12" ht="34.200000000000003" customHeight="1" thickBot="1" x14ac:dyDescent="0.35">
      <c r="A458" s="1">
        <v>4106701</v>
      </c>
      <c r="B458" s="2" t="s">
        <v>471</v>
      </c>
      <c r="C458" s="2">
        <v>1</v>
      </c>
      <c r="D458" s="2">
        <v>41804</v>
      </c>
      <c r="E458" s="9">
        <v>5225</v>
      </c>
      <c r="F458" s="9">
        <v>15050</v>
      </c>
      <c r="G458" s="3">
        <v>18.8</v>
      </c>
      <c r="H458" s="3">
        <v>14.6</v>
      </c>
      <c r="I458" s="3">
        <v>2.7</v>
      </c>
      <c r="J458" s="5">
        <f t="shared" si="7"/>
        <v>5095.077807891912</v>
      </c>
      <c r="K458" s="2">
        <v>37.465643999999998</v>
      </c>
      <c r="L458">
        <v>-6.1544249999999998</v>
      </c>
    </row>
    <row r="459" spans="1:12" ht="34.200000000000003" customHeight="1" thickBot="1" x14ac:dyDescent="0.35">
      <c r="A459" s="1">
        <v>4106702</v>
      </c>
      <c r="B459" s="2" t="s">
        <v>471</v>
      </c>
      <c r="C459" s="2">
        <v>2</v>
      </c>
      <c r="D459" s="2">
        <v>41804</v>
      </c>
      <c r="E459" s="9">
        <v>4229</v>
      </c>
      <c r="F459" s="9">
        <v>13650</v>
      </c>
      <c r="G459" s="3">
        <v>17.3</v>
      </c>
      <c r="H459" s="3">
        <v>17.8</v>
      </c>
      <c r="I459" s="3">
        <v>2.7</v>
      </c>
      <c r="J459" s="5">
        <f t="shared" si="7"/>
        <v>3571.5252444776979</v>
      </c>
      <c r="K459" s="2">
        <v>37.413769000000002</v>
      </c>
      <c r="L459">
        <v>-6.154566</v>
      </c>
    </row>
    <row r="460" spans="1:12" ht="34.200000000000003" customHeight="1" thickBot="1" x14ac:dyDescent="0.35">
      <c r="A460" s="1">
        <v>4106801</v>
      </c>
      <c r="B460" s="2" t="s">
        <v>472</v>
      </c>
      <c r="C460" s="2">
        <v>1</v>
      </c>
      <c r="D460" s="2">
        <v>41640</v>
      </c>
      <c r="E460" s="9">
        <v>3300</v>
      </c>
      <c r="F460" s="9">
        <v>14350</v>
      </c>
      <c r="G460" s="3">
        <v>17</v>
      </c>
      <c r="H460" s="3">
        <v>17.7</v>
      </c>
      <c r="I460" s="3">
        <v>2.7</v>
      </c>
      <c r="J460" s="5">
        <f t="shared" si="7"/>
        <v>2923.9867234797512</v>
      </c>
      <c r="K460" s="2">
        <v>37.246499</v>
      </c>
      <c r="L460">
        <v>-5.1050940000000002</v>
      </c>
    </row>
    <row r="461" spans="1:12" ht="34.200000000000003" customHeight="1" thickBot="1" x14ac:dyDescent="0.35">
      <c r="A461" s="1">
        <v>4106802</v>
      </c>
      <c r="B461" s="2" t="s">
        <v>472</v>
      </c>
      <c r="C461" s="2">
        <v>2</v>
      </c>
      <c r="D461" s="2">
        <v>41640</v>
      </c>
      <c r="E461" s="9">
        <v>1693</v>
      </c>
      <c r="F461" s="9">
        <v>17150</v>
      </c>
      <c r="G461" s="3">
        <v>15.9</v>
      </c>
      <c r="H461" s="3">
        <v>24</v>
      </c>
      <c r="I461" s="3">
        <v>2.5</v>
      </c>
      <c r="J461" s="5">
        <f t="shared" si="7"/>
        <v>1724.2839214656747</v>
      </c>
      <c r="K461" s="2">
        <v>37.303232000000001</v>
      </c>
      <c r="L461">
        <v>-5.1868179999999997</v>
      </c>
    </row>
    <row r="462" spans="1:12" ht="34.200000000000003" customHeight="1" thickBot="1" x14ac:dyDescent="0.35">
      <c r="A462" s="1">
        <v>4106803</v>
      </c>
      <c r="B462" s="2" t="s">
        <v>472</v>
      </c>
      <c r="C462" s="2">
        <v>3</v>
      </c>
      <c r="D462" s="2">
        <v>41640</v>
      </c>
      <c r="E462" s="9">
        <v>2991</v>
      </c>
      <c r="F462" s="9">
        <v>15050</v>
      </c>
      <c r="G462" s="3">
        <v>17.5</v>
      </c>
      <c r="H462" s="3">
        <v>19.7</v>
      </c>
      <c r="I462" s="3">
        <v>2.6</v>
      </c>
      <c r="J462" s="5">
        <f t="shared" si="7"/>
        <v>2789.6343544424458</v>
      </c>
      <c r="K462" s="2">
        <v>37.235954</v>
      </c>
      <c r="L462">
        <v>-5.1049059999999997</v>
      </c>
    </row>
    <row r="463" spans="1:12" ht="34.200000000000003" customHeight="1" thickBot="1" x14ac:dyDescent="0.35">
      <c r="A463" s="1">
        <v>4106804</v>
      </c>
      <c r="B463" s="2" t="s">
        <v>472</v>
      </c>
      <c r="C463" s="2">
        <v>4</v>
      </c>
      <c r="D463" s="2">
        <v>41640</v>
      </c>
      <c r="E463" s="9">
        <v>5587</v>
      </c>
      <c r="F463" s="9">
        <v>14350</v>
      </c>
      <c r="G463" s="3">
        <v>22.2</v>
      </c>
      <c r="H463" s="3">
        <v>13.9</v>
      </c>
      <c r="I463" s="3">
        <v>2.8</v>
      </c>
      <c r="J463" s="5">
        <f t="shared" si="7"/>
        <v>5301.7861022916995</v>
      </c>
      <c r="K463" s="2">
        <v>37.178314999999998</v>
      </c>
      <c r="L463">
        <v>-5.1114300000000004</v>
      </c>
    </row>
    <row r="464" spans="1:12" ht="34.200000000000003" customHeight="1" thickBot="1" x14ac:dyDescent="0.35">
      <c r="A464" s="1">
        <v>4106805</v>
      </c>
      <c r="B464" s="2" t="s">
        <v>472</v>
      </c>
      <c r="C464" s="2">
        <v>5</v>
      </c>
      <c r="D464" s="2">
        <v>41640</v>
      </c>
      <c r="E464" s="9">
        <v>3623</v>
      </c>
      <c r="F464" s="9">
        <v>15050</v>
      </c>
      <c r="G464" s="3">
        <v>15.5</v>
      </c>
      <c r="H464" s="3">
        <v>20.6</v>
      </c>
      <c r="I464" s="3">
        <v>2.5</v>
      </c>
      <c r="J464" s="5">
        <f t="shared" si="7"/>
        <v>3343.8226178232298</v>
      </c>
      <c r="K464" s="2">
        <v>37.234912000000001</v>
      </c>
      <c r="L464">
        <v>-5.1189850000000003</v>
      </c>
    </row>
    <row r="465" spans="1:12" ht="34.200000000000003" customHeight="1" thickBot="1" x14ac:dyDescent="0.35">
      <c r="A465" s="1">
        <v>4106901</v>
      </c>
      <c r="B465" s="2" t="s">
        <v>631</v>
      </c>
      <c r="C465" s="2">
        <v>1</v>
      </c>
      <c r="D465" s="2">
        <v>41720</v>
      </c>
      <c r="E465" s="9">
        <v>8403</v>
      </c>
      <c r="F465" s="9">
        <v>13650</v>
      </c>
      <c r="G465" s="3">
        <v>17.8</v>
      </c>
      <c r="H465" s="3">
        <v>18.8</v>
      </c>
      <c r="I465" s="3">
        <v>2.8</v>
      </c>
      <c r="J465" s="5">
        <f t="shared" si="7"/>
        <v>6933.7053596442047</v>
      </c>
      <c r="K465" s="2">
        <v>37.161352999999998</v>
      </c>
      <c r="L465">
        <v>-5.926361</v>
      </c>
    </row>
    <row r="466" spans="1:12" ht="34.200000000000003" customHeight="1" thickBot="1" x14ac:dyDescent="0.35">
      <c r="A466" s="1">
        <v>4106902</v>
      </c>
      <c r="B466" s="2" t="s">
        <v>631</v>
      </c>
      <c r="C466" s="2">
        <v>2</v>
      </c>
      <c r="D466" s="2">
        <v>41720</v>
      </c>
      <c r="E466" s="9">
        <v>7304</v>
      </c>
      <c r="F466" s="9">
        <v>14350</v>
      </c>
      <c r="G466" s="3">
        <v>19</v>
      </c>
      <c r="H466" s="3">
        <v>18.399999999999999</v>
      </c>
      <c r="I466" s="3">
        <v>2.8</v>
      </c>
      <c r="J466" s="5">
        <f t="shared" si="7"/>
        <v>6438.3386980304331</v>
      </c>
      <c r="K466" s="2">
        <v>37.158115000000002</v>
      </c>
      <c r="L466">
        <v>-5.9274779999999998</v>
      </c>
    </row>
    <row r="467" spans="1:12" ht="34.200000000000003" customHeight="1" thickBot="1" x14ac:dyDescent="0.35">
      <c r="A467" s="1">
        <v>4106903</v>
      </c>
      <c r="B467" s="2" t="s">
        <v>631</v>
      </c>
      <c r="C467" s="2">
        <v>3</v>
      </c>
      <c r="D467" s="2">
        <v>41720</v>
      </c>
      <c r="E467" s="9">
        <v>11455</v>
      </c>
      <c r="F467" s="9">
        <v>15050</v>
      </c>
      <c r="G467" s="3">
        <v>20.8</v>
      </c>
      <c r="H467" s="3">
        <v>14.7</v>
      </c>
      <c r="I467" s="3">
        <v>2.8</v>
      </c>
      <c r="J467" s="5">
        <f t="shared" si="7"/>
        <v>11168.893522974689</v>
      </c>
      <c r="K467" s="2">
        <v>37.161011000000002</v>
      </c>
      <c r="L467">
        <v>-5.9215540000000004</v>
      </c>
    </row>
    <row r="468" spans="1:12" ht="34.200000000000003" customHeight="1" thickBot="1" x14ac:dyDescent="0.35">
      <c r="A468" s="1">
        <v>4106904</v>
      </c>
      <c r="B468" s="2" t="s">
        <v>631</v>
      </c>
      <c r="C468" s="2">
        <v>4</v>
      </c>
      <c r="D468" s="2">
        <v>41720</v>
      </c>
      <c r="E468" s="9">
        <v>11490</v>
      </c>
      <c r="F468" s="9">
        <v>13650</v>
      </c>
      <c r="G468" s="3">
        <v>23.4</v>
      </c>
      <c r="H468" s="3">
        <v>12.3</v>
      </c>
      <c r="I468" s="3">
        <v>2.8</v>
      </c>
      <c r="J468" s="5">
        <f t="shared" si="7"/>
        <v>10639.712976600293</v>
      </c>
      <c r="K468" s="2">
        <v>37.154629</v>
      </c>
      <c r="L468">
        <v>-5.9190899999999997</v>
      </c>
    </row>
    <row r="469" spans="1:12" ht="34.200000000000003" customHeight="1" thickBot="1" x14ac:dyDescent="0.35">
      <c r="A469" s="1">
        <v>4190401</v>
      </c>
      <c r="B469" s="2" t="s">
        <v>632</v>
      </c>
      <c r="C469" s="2">
        <v>1</v>
      </c>
      <c r="D469" s="2">
        <v>41719</v>
      </c>
      <c r="E469" s="9">
        <v>2174</v>
      </c>
      <c r="F469" s="9">
        <v>12950</v>
      </c>
      <c r="G469" s="3">
        <v>17</v>
      </c>
      <c r="H469" s="3">
        <v>18.399999999999999</v>
      </c>
      <c r="I469" s="3">
        <v>2.6</v>
      </c>
      <c r="J469" s="5">
        <f t="shared" si="7"/>
        <v>1758.9833886164481</v>
      </c>
      <c r="K469" s="2">
        <v>37.053068000000003</v>
      </c>
      <c r="L469">
        <v>-5.7900609999999997</v>
      </c>
    </row>
    <row r="470" spans="1:12" ht="34.200000000000003" customHeight="1" thickBot="1" x14ac:dyDescent="0.35">
      <c r="A470" s="1">
        <v>4107001</v>
      </c>
      <c r="B470" s="2" t="s">
        <v>473</v>
      </c>
      <c r="C470" s="2">
        <v>1</v>
      </c>
      <c r="D470" s="2">
        <v>41928</v>
      </c>
      <c r="E470" s="9">
        <v>9231</v>
      </c>
      <c r="F470" s="9">
        <v>19950</v>
      </c>
      <c r="G470" s="3">
        <v>23.3</v>
      </c>
      <c r="H470" s="3">
        <v>12.1</v>
      </c>
      <c r="I470" s="3">
        <v>2.9</v>
      </c>
      <c r="J470" s="5">
        <f t="shared" si="7"/>
        <v>12286.823742999555</v>
      </c>
      <c r="K470" s="2">
        <v>37.315275</v>
      </c>
      <c r="L470">
        <v>-6.0451550000000003</v>
      </c>
    </row>
    <row r="471" spans="1:12" ht="34.200000000000003" customHeight="1" thickBot="1" x14ac:dyDescent="0.35">
      <c r="A471" s="1">
        <v>4107101</v>
      </c>
      <c r="B471" s="2" t="s">
        <v>474</v>
      </c>
      <c r="C471" s="2">
        <v>1</v>
      </c>
      <c r="D471" s="2">
        <v>41610</v>
      </c>
      <c r="E471" s="9">
        <v>1798</v>
      </c>
      <c r="F471" s="9">
        <v>15050</v>
      </c>
      <c r="G471" s="3">
        <v>15.4</v>
      </c>
      <c r="H471" s="3">
        <v>19.2</v>
      </c>
      <c r="I471" s="3">
        <v>2.2999999999999998</v>
      </c>
      <c r="J471" s="5">
        <f t="shared" si="7"/>
        <v>1753.7978379252463</v>
      </c>
      <c r="K471" s="2">
        <v>37.291296000000003</v>
      </c>
      <c r="L471">
        <v>-5.497941</v>
      </c>
    </row>
    <row r="472" spans="1:12" ht="34.200000000000003" customHeight="1" thickBot="1" x14ac:dyDescent="0.35">
      <c r="A472" s="1">
        <v>4107102</v>
      </c>
      <c r="B472" s="2" t="s">
        <v>474</v>
      </c>
      <c r="C472" s="2">
        <v>2</v>
      </c>
      <c r="D472" s="2">
        <v>41610</v>
      </c>
      <c r="E472" s="9">
        <v>3157</v>
      </c>
      <c r="F472" s="9">
        <v>12950</v>
      </c>
      <c r="G472" s="3">
        <v>18.899999999999999</v>
      </c>
      <c r="H472" s="3">
        <v>17.5</v>
      </c>
      <c r="I472" s="3">
        <v>2.5</v>
      </c>
      <c r="J472" s="5">
        <f t="shared" si="7"/>
        <v>2678.887587496019</v>
      </c>
      <c r="K472" s="2">
        <v>37.284784000000002</v>
      </c>
      <c r="L472">
        <v>-5.4904310000000001</v>
      </c>
    </row>
    <row r="473" spans="1:12" ht="34.200000000000003" customHeight="1" thickBot="1" x14ac:dyDescent="0.35">
      <c r="A473" s="1">
        <v>4107103</v>
      </c>
      <c r="B473" s="2" t="s">
        <v>474</v>
      </c>
      <c r="C473" s="2">
        <v>3</v>
      </c>
      <c r="D473" s="2">
        <v>41610</v>
      </c>
      <c r="E473" s="9">
        <v>1839</v>
      </c>
      <c r="F473" s="9">
        <v>15750</v>
      </c>
      <c r="G473" s="3">
        <v>17</v>
      </c>
      <c r="H473" s="3">
        <v>24.4</v>
      </c>
      <c r="I473" s="3">
        <v>2.4</v>
      </c>
      <c r="J473" s="5">
        <f t="shared" si="7"/>
        <v>1768.9267203583661</v>
      </c>
      <c r="K473" s="2">
        <v>37.292760000000001</v>
      </c>
      <c r="L473">
        <v>-5.4956189999999996</v>
      </c>
    </row>
    <row r="474" spans="1:12" ht="34.200000000000003" customHeight="1" thickBot="1" x14ac:dyDescent="0.35">
      <c r="A474" s="1">
        <v>4107201</v>
      </c>
      <c r="B474" s="2" t="s">
        <v>475</v>
      </c>
      <c r="C474" s="2">
        <v>1</v>
      </c>
      <c r="D474" s="2">
        <v>41566</v>
      </c>
      <c r="E474" s="9">
        <v>5072</v>
      </c>
      <c r="F474" s="9">
        <v>15050</v>
      </c>
      <c r="G474" s="3">
        <v>18.399999999999999</v>
      </c>
      <c r="H474" s="3">
        <v>17.3</v>
      </c>
      <c r="I474" s="3">
        <v>2.7</v>
      </c>
      <c r="J474" s="5">
        <f t="shared" si="7"/>
        <v>4798.7398585138417</v>
      </c>
      <c r="K474" s="2">
        <v>37.201827999999999</v>
      </c>
      <c r="L474">
        <v>-4.8949600000000002</v>
      </c>
    </row>
    <row r="475" spans="1:12" ht="34.200000000000003" customHeight="1" thickBot="1" x14ac:dyDescent="0.35">
      <c r="A475" s="1">
        <v>4107301</v>
      </c>
      <c r="B475" s="2" t="s">
        <v>633</v>
      </c>
      <c r="C475" s="2">
        <v>1</v>
      </c>
      <c r="D475" s="2">
        <v>41360</v>
      </c>
      <c r="E475" s="9">
        <v>2075</v>
      </c>
      <c r="F475" s="9">
        <v>15050</v>
      </c>
      <c r="G475" s="3">
        <v>13.3</v>
      </c>
      <c r="H475" s="3">
        <v>22.4</v>
      </c>
      <c r="I475" s="3">
        <v>2.2999999999999998</v>
      </c>
      <c r="J475" s="5">
        <f t="shared" si="7"/>
        <v>1912.4793527508341</v>
      </c>
      <c r="K475" s="2">
        <v>37.789211999999999</v>
      </c>
      <c r="L475">
        <v>-5.7967019999999998</v>
      </c>
    </row>
    <row r="476" spans="1:12" ht="34.200000000000003" customHeight="1" thickBot="1" x14ac:dyDescent="0.35">
      <c r="A476" s="1">
        <v>4107401</v>
      </c>
      <c r="B476" s="2" t="s">
        <v>476</v>
      </c>
      <c r="C476" s="2">
        <v>1</v>
      </c>
      <c r="D476" s="2">
        <v>41470</v>
      </c>
      <c r="E476" s="9">
        <v>3662</v>
      </c>
      <c r="F476" s="9">
        <v>14350</v>
      </c>
      <c r="G476" s="3">
        <v>17.3</v>
      </c>
      <c r="H476" s="3">
        <v>21.2</v>
      </c>
      <c r="I476" s="3">
        <v>2.5</v>
      </c>
      <c r="J476" s="5">
        <f t="shared" si="7"/>
        <v>3263.366217268323</v>
      </c>
      <c r="K476" s="2">
        <v>37.731501000000002</v>
      </c>
      <c r="L476">
        <v>-5.3653360000000001</v>
      </c>
    </row>
    <row r="477" spans="1:12" ht="34.200000000000003" customHeight="1" thickBot="1" x14ac:dyDescent="0.35">
      <c r="A477" s="1">
        <v>4107501</v>
      </c>
      <c r="B477" s="2" t="s">
        <v>477</v>
      </c>
      <c r="C477" s="2">
        <v>1</v>
      </c>
      <c r="D477" s="2">
        <v>41840</v>
      </c>
      <c r="E477" s="9">
        <v>14076</v>
      </c>
      <c r="F477" s="9">
        <v>14350</v>
      </c>
      <c r="G477" s="3">
        <v>19.399999999999999</v>
      </c>
      <c r="H477" s="3">
        <v>15.3</v>
      </c>
      <c r="I477" s="3">
        <v>2.6</v>
      </c>
      <c r="J477" s="5">
        <f t="shared" si="7"/>
        <v>13324.085281338545</v>
      </c>
      <c r="K477" s="2">
        <v>37.29842</v>
      </c>
      <c r="L477">
        <v>-6.3053590000000002</v>
      </c>
    </row>
    <row r="478" spans="1:12" ht="34.200000000000003" customHeight="1" thickBot="1" x14ac:dyDescent="0.35">
      <c r="A478" s="1">
        <v>4107601</v>
      </c>
      <c r="B478" s="2" t="s">
        <v>478</v>
      </c>
      <c r="C478" s="2">
        <v>1</v>
      </c>
      <c r="D478" s="2">
        <v>41670</v>
      </c>
      <c r="E478" s="9">
        <v>2531</v>
      </c>
      <c r="F478" s="9">
        <v>12250</v>
      </c>
      <c r="G478" s="3">
        <v>14.6</v>
      </c>
      <c r="H478" s="3">
        <v>21.8</v>
      </c>
      <c r="I478" s="3">
        <v>2.2999999999999998</v>
      </c>
      <c r="J478" s="5">
        <f t="shared" si="7"/>
        <v>1938.4494540176577</v>
      </c>
      <c r="K478" s="2">
        <v>36.972935</v>
      </c>
      <c r="L478">
        <v>-5.2244469999999996</v>
      </c>
    </row>
    <row r="479" spans="1:12" ht="34.200000000000003" customHeight="1" thickBot="1" x14ac:dyDescent="0.35">
      <c r="A479" s="1">
        <v>4107701</v>
      </c>
      <c r="B479" s="2" t="s">
        <v>634</v>
      </c>
      <c r="C479" s="2">
        <v>1</v>
      </c>
      <c r="D479" s="2">
        <v>41540</v>
      </c>
      <c r="E479" s="9">
        <v>2641</v>
      </c>
      <c r="F479" s="9">
        <v>15050</v>
      </c>
      <c r="G479" s="3">
        <v>17.2</v>
      </c>
      <c r="H479" s="3">
        <v>23.6</v>
      </c>
      <c r="I479" s="3">
        <v>2.5</v>
      </c>
      <c r="J479" s="5">
        <f t="shared" si="7"/>
        <v>2404.1022479074809</v>
      </c>
      <c r="K479" s="2">
        <v>37.221640999999998</v>
      </c>
      <c r="L479">
        <v>-5.308376</v>
      </c>
    </row>
    <row r="480" spans="1:12" ht="34.200000000000003" customHeight="1" thickBot="1" x14ac:dyDescent="0.35">
      <c r="A480" s="1">
        <v>4107702</v>
      </c>
      <c r="B480" s="2" t="s">
        <v>634</v>
      </c>
      <c r="C480" s="2">
        <v>2</v>
      </c>
      <c r="D480" s="2">
        <v>41540</v>
      </c>
      <c r="E480" s="9">
        <v>5286</v>
      </c>
      <c r="F480" s="9">
        <v>15050</v>
      </c>
      <c r="G480" s="3">
        <v>18.7</v>
      </c>
      <c r="H480" s="3">
        <v>17.7</v>
      </c>
      <c r="I480" s="3">
        <v>2.7</v>
      </c>
      <c r="J480" s="5">
        <f t="shared" si="7"/>
        <v>4996.2635537918095</v>
      </c>
      <c r="K480" s="2">
        <v>37.222727999999996</v>
      </c>
      <c r="L480">
        <v>-5.3152489999999997</v>
      </c>
    </row>
    <row r="481" spans="1:12" ht="34.200000000000003" customHeight="1" thickBot="1" x14ac:dyDescent="0.35">
      <c r="A481" s="1">
        <v>4107703</v>
      </c>
      <c r="B481" s="2" t="s">
        <v>634</v>
      </c>
      <c r="C481" s="2">
        <v>3</v>
      </c>
      <c r="D481" s="2">
        <v>41540</v>
      </c>
      <c r="E481" s="9">
        <v>2810</v>
      </c>
      <c r="F481" s="9">
        <v>14350</v>
      </c>
      <c r="G481" s="3">
        <v>20</v>
      </c>
      <c r="H481" s="3">
        <v>15.2</v>
      </c>
      <c r="I481" s="3">
        <v>2.7</v>
      </c>
      <c r="J481" s="5">
        <f t="shared" si="7"/>
        <v>2627.7243804330469</v>
      </c>
      <c r="K481" s="2">
        <v>37.218181000000001</v>
      </c>
      <c r="L481">
        <v>-5.3115730000000001</v>
      </c>
    </row>
    <row r="482" spans="1:12" ht="34.200000000000003" customHeight="1" thickBot="1" x14ac:dyDescent="0.35">
      <c r="A482" s="1">
        <v>4107801</v>
      </c>
      <c r="B482" s="2" t="s">
        <v>635</v>
      </c>
      <c r="C482" s="2">
        <v>1</v>
      </c>
      <c r="D482" s="2">
        <v>41479</v>
      </c>
      <c r="E482" s="9">
        <v>704</v>
      </c>
      <c r="F482" s="9">
        <v>12950</v>
      </c>
      <c r="G482" s="3">
        <v>15.1</v>
      </c>
      <c r="H482" s="3">
        <v>21.7</v>
      </c>
      <c r="I482" s="3">
        <v>2.2000000000000002</v>
      </c>
      <c r="J482" s="5">
        <f t="shared" si="7"/>
        <v>586.57041201601999</v>
      </c>
      <c r="K482" s="2">
        <v>37.777425000000001</v>
      </c>
      <c r="L482">
        <v>-5.3882389999999996</v>
      </c>
    </row>
    <row r="483" spans="1:12" ht="34.200000000000003" customHeight="1" thickBot="1" x14ac:dyDescent="0.35">
      <c r="A483" s="1">
        <v>4107802</v>
      </c>
      <c r="B483" s="2" t="s">
        <v>635</v>
      </c>
      <c r="C483" s="2">
        <v>2</v>
      </c>
      <c r="D483" s="2">
        <v>41479</v>
      </c>
      <c r="E483" s="9">
        <v>2200</v>
      </c>
      <c r="F483" s="9">
        <v>14350</v>
      </c>
      <c r="G483" s="3">
        <v>16.8</v>
      </c>
      <c r="H483" s="3">
        <v>22.6</v>
      </c>
      <c r="I483" s="3">
        <v>2.4</v>
      </c>
      <c r="J483" s="5">
        <f t="shared" si="7"/>
        <v>1961.3814013456122</v>
      </c>
      <c r="K483" s="2">
        <v>37.782282000000002</v>
      </c>
      <c r="L483">
        <v>-5.3909799999999999</v>
      </c>
    </row>
    <row r="484" spans="1:12" ht="34.200000000000003" customHeight="1" thickBot="1" x14ac:dyDescent="0.35">
      <c r="A484" s="1">
        <v>4107901</v>
      </c>
      <c r="B484" s="2" t="s">
        <v>636</v>
      </c>
      <c r="C484" s="2">
        <v>1</v>
      </c>
      <c r="D484" s="2">
        <v>41130</v>
      </c>
      <c r="E484" s="9">
        <v>11810</v>
      </c>
      <c r="F484" s="9">
        <v>14350</v>
      </c>
      <c r="G484" s="3">
        <v>18.7</v>
      </c>
      <c r="H484" s="3">
        <v>17.2</v>
      </c>
      <c r="I484" s="3">
        <v>2.7</v>
      </c>
      <c r="J484" s="5">
        <f t="shared" si="7"/>
        <v>10696.166331703838</v>
      </c>
      <c r="K484" s="2">
        <v>37.271895000000001</v>
      </c>
      <c r="L484">
        <v>-6.0594279999999996</v>
      </c>
    </row>
    <row r="485" spans="1:12" ht="34.200000000000003" customHeight="1" thickBot="1" x14ac:dyDescent="0.35">
      <c r="A485" s="1">
        <v>4108001</v>
      </c>
      <c r="B485" s="2" t="s">
        <v>637</v>
      </c>
      <c r="C485" s="2">
        <v>1</v>
      </c>
      <c r="D485" s="2">
        <v>41250</v>
      </c>
      <c r="E485" s="9">
        <v>1528</v>
      </c>
      <c r="F485" s="9">
        <v>13650</v>
      </c>
      <c r="G485" s="3">
        <v>14.6</v>
      </c>
      <c r="H485" s="3">
        <v>21.5</v>
      </c>
      <c r="I485" s="3">
        <v>2.5</v>
      </c>
      <c r="J485" s="5">
        <f t="shared" si="7"/>
        <v>1254.8097115702478</v>
      </c>
      <c r="K485" s="2">
        <v>37.949371999999997</v>
      </c>
      <c r="L485">
        <v>-6.149718</v>
      </c>
    </row>
    <row r="486" spans="1:12" ht="34.200000000000003" customHeight="1" thickBot="1" x14ac:dyDescent="0.35">
      <c r="A486" s="1">
        <v>4108002</v>
      </c>
      <c r="B486" s="2" t="s">
        <v>637</v>
      </c>
      <c r="C486" s="2">
        <v>2</v>
      </c>
      <c r="D486" s="2">
        <v>41250</v>
      </c>
      <c r="E486" s="9">
        <v>4</v>
      </c>
      <c r="F486" s="9">
        <v>13650</v>
      </c>
      <c r="G486" s="3">
        <v>14.6</v>
      </c>
      <c r="H486" s="3">
        <v>21.5</v>
      </c>
      <c r="I486" s="3">
        <v>2.5</v>
      </c>
      <c r="J486" s="5">
        <f t="shared" si="7"/>
        <v>3.2848421768854656</v>
      </c>
      <c r="K486" s="2">
        <v>37.950546000000003</v>
      </c>
      <c r="L486">
        <v>-6.0503840000000002</v>
      </c>
    </row>
    <row r="487" spans="1:12" ht="34.200000000000003" customHeight="1" thickBot="1" x14ac:dyDescent="0.35">
      <c r="A487" s="1">
        <v>4108101</v>
      </c>
      <c r="B487" s="2" t="s">
        <v>638</v>
      </c>
      <c r="C487" s="2">
        <v>1</v>
      </c>
      <c r="D487" s="2">
        <v>41309</v>
      </c>
      <c r="E487" s="9">
        <v>10695</v>
      </c>
      <c r="F487" s="9">
        <v>16450</v>
      </c>
      <c r="G487" s="3">
        <v>21.5</v>
      </c>
      <c r="H487" s="3">
        <v>13.5</v>
      </c>
      <c r="I487" s="3">
        <v>2.9</v>
      </c>
      <c r="J487" s="5">
        <f t="shared" si="7"/>
        <v>11400.230613991369</v>
      </c>
      <c r="K487" s="2">
        <v>37.485522000000003</v>
      </c>
      <c r="L487">
        <v>-5.9862840000000004</v>
      </c>
    </row>
    <row r="488" spans="1:12" ht="34.200000000000003" customHeight="1" thickBot="1" x14ac:dyDescent="0.35">
      <c r="A488" s="1">
        <v>4108102</v>
      </c>
      <c r="B488" s="2" t="s">
        <v>638</v>
      </c>
      <c r="C488" s="2">
        <v>2</v>
      </c>
      <c r="D488" s="2">
        <v>41300</v>
      </c>
      <c r="E488" s="9">
        <v>29258</v>
      </c>
      <c r="F488" s="9">
        <v>16450</v>
      </c>
      <c r="G488" s="3">
        <v>18.600000000000001</v>
      </c>
      <c r="H488" s="3">
        <v>14.6</v>
      </c>
      <c r="I488" s="3">
        <v>2.7</v>
      </c>
      <c r="J488" s="5">
        <f t="shared" si="7"/>
        <v>31124.62904631229</v>
      </c>
      <c r="K488" s="2">
        <v>37.477600000000002</v>
      </c>
      <c r="L488">
        <v>-5.9449949999999996</v>
      </c>
    </row>
    <row r="489" spans="1:12" ht="34.200000000000003" customHeight="1" thickBot="1" x14ac:dyDescent="0.35">
      <c r="A489" s="1">
        <v>4108201</v>
      </c>
      <c r="B489" s="2" t="s">
        <v>639</v>
      </c>
      <c r="C489" s="2">
        <v>1</v>
      </c>
      <c r="D489" s="2">
        <v>41590</v>
      </c>
      <c r="E489" s="9">
        <v>4173</v>
      </c>
      <c r="F489" s="9">
        <v>15050</v>
      </c>
      <c r="G489" s="3">
        <v>17</v>
      </c>
      <c r="H489" s="3">
        <v>19.8</v>
      </c>
      <c r="I489" s="3">
        <v>2.5</v>
      </c>
      <c r="J489" s="5">
        <f t="shared" si="7"/>
        <v>3944.784964523692</v>
      </c>
      <c r="K489" s="2">
        <v>37.193809999999999</v>
      </c>
      <c r="L489">
        <v>-4.7808200000000003</v>
      </c>
    </row>
    <row r="490" spans="1:12" ht="34.200000000000003" customHeight="1" thickBot="1" x14ac:dyDescent="0.35">
      <c r="A490" s="1">
        <v>4108301</v>
      </c>
      <c r="B490" s="2" t="s">
        <v>640</v>
      </c>
      <c r="C490" s="2">
        <v>1</v>
      </c>
      <c r="D490" s="2">
        <v>41880</v>
      </c>
      <c r="E490" s="9">
        <v>1409</v>
      </c>
      <c r="F490" s="9">
        <v>14350</v>
      </c>
      <c r="G490" s="3">
        <v>15.7</v>
      </c>
      <c r="H490" s="3">
        <v>23.1</v>
      </c>
      <c r="I490" s="3">
        <v>2.2000000000000002</v>
      </c>
      <c r="J490" s="5">
        <f t="shared" si="7"/>
        <v>1289.7476030910036</v>
      </c>
      <c r="K490" s="2">
        <v>37.748531999999997</v>
      </c>
      <c r="L490">
        <v>-6.1785620000000003</v>
      </c>
    </row>
    <row r="491" spans="1:12" ht="34.200000000000003" customHeight="1" thickBot="1" x14ac:dyDescent="0.35">
      <c r="A491" s="1">
        <v>4108401</v>
      </c>
      <c r="B491" s="2" t="s">
        <v>641</v>
      </c>
      <c r="C491" s="2">
        <v>1</v>
      </c>
      <c r="D491" s="2">
        <v>41568</v>
      </c>
      <c r="E491" s="9">
        <v>2113</v>
      </c>
      <c r="F491" s="9">
        <v>14350</v>
      </c>
      <c r="G491" s="3">
        <v>15.8</v>
      </c>
      <c r="H491" s="3">
        <v>18.5</v>
      </c>
      <c r="I491" s="3">
        <v>2.5</v>
      </c>
      <c r="J491" s="5">
        <f t="shared" si="7"/>
        <v>1906.4983030222902</v>
      </c>
      <c r="K491" s="2">
        <v>37.350968000000002</v>
      </c>
      <c r="L491">
        <v>-4.9924679999999997</v>
      </c>
    </row>
    <row r="492" spans="1:12" ht="34.200000000000003" customHeight="1" thickBot="1" x14ac:dyDescent="0.35">
      <c r="A492" s="1">
        <v>4108402</v>
      </c>
      <c r="B492" s="2" t="s">
        <v>641</v>
      </c>
      <c r="C492" s="2">
        <v>2</v>
      </c>
      <c r="D492" s="2">
        <v>41568</v>
      </c>
      <c r="E492" s="9">
        <v>1189</v>
      </c>
      <c r="F492" s="9">
        <v>14350</v>
      </c>
      <c r="G492" s="3">
        <v>14.6</v>
      </c>
      <c r="H492" s="3">
        <v>24</v>
      </c>
      <c r="I492" s="3">
        <v>2.2999999999999998</v>
      </c>
      <c r="J492" s="5">
        <f t="shared" si="7"/>
        <v>1041.4543165379775</v>
      </c>
      <c r="K492" s="2">
        <v>37.344749999999998</v>
      </c>
      <c r="L492">
        <v>-5.0123689999999996</v>
      </c>
    </row>
    <row r="493" spans="1:12" ht="34.200000000000003" customHeight="1" thickBot="1" x14ac:dyDescent="0.35">
      <c r="A493" s="1">
        <v>4108501</v>
      </c>
      <c r="B493" s="2" t="s">
        <v>480</v>
      </c>
      <c r="C493" s="2">
        <v>1</v>
      </c>
      <c r="D493" s="2">
        <v>41809</v>
      </c>
      <c r="E493" s="9">
        <v>5591</v>
      </c>
      <c r="F493" s="9">
        <v>18550</v>
      </c>
      <c r="G493" s="3">
        <v>19.2</v>
      </c>
      <c r="H493" s="3">
        <v>15.2</v>
      </c>
      <c r="I493" s="3">
        <v>2.8</v>
      </c>
      <c r="J493" s="5">
        <f t="shared" si="7"/>
        <v>6586.1242382517703</v>
      </c>
      <c r="K493" s="2">
        <v>37.411034999999998</v>
      </c>
      <c r="L493">
        <v>-6.1190939999999996</v>
      </c>
    </row>
    <row r="494" spans="1:12" ht="34.200000000000003" customHeight="1" thickBot="1" x14ac:dyDescent="0.35">
      <c r="A494" s="1">
        <v>4108601</v>
      </c>
      <c r="B494" s="2" t="s">
        <v>481</v>
      </c>
      <c r="C494" s="2">
        <v>1</v>
      </c>
      <c r="D494" s="2">
        <v>41920</v>
      </c>
      <c r="E494" s="9">
        <v>2263</v>
      </c>
      <c r="F494" s="9">
        <v>14350</v>
      </c>
      <c r="G494" s="3">
        <v>17.8</v>
      </c>
      <c r="H494" s="3">
        <v>20.3</v>
      </c>
      <c r="I494" s="3">
        <v>2.4</v>
      </c>
      <c r="J494" s="5">
        <f t="shared" si="7"/>
        <v>2088.2266736460101</v>
      </c>
      <c r="K494" s="2">
        <v>37.367646999999998</v>
      </c>
      <c r="L494">
        <v>-6.0303519999999997</v>
      </c>
    </row>
    <row r="495" spans="1:12" ht="34.200000000000003" customHeight="1" thickBot="1" x14ac:dyDescent="0.35">
      <c r="A495" s="1">
        <v>4108602</v>
      </c>
      <c r="B495" s="2" t="s">
        <v>481</v>
      </c>
      <c r="C495" s="2">
        <v>2</v>
      </c>
      <c r="D495" s="2">
        <v>41920</v>
      </c>
      <c r="E495" s="9">
        <v>3895</v>
      </c>
      <c r="F495" s="9">
        <v>20650</v>
      </c>
      <c r="G495" s="3">
        <v>23.4</v>
      </c>
      <c r="H495" s="3">
        <v>11.7</v>
      </c>
      <c r="I495" s="3">
        <v>2.6</v>
      </c>
      <c r="J495" s="5">
        <f t="shared" si="7"/>
        <v>5692.9347497232102</v>
      </c>
      <c r="K495" s="2">
        <v>37.364344000000003</v>
      </c>
      <c r="L495">
        <v>-6.0257540000000001</v>
      </c>
    </row>
    <row r="496" spans="1:12" ht="34.200000000000003" customHeight="1" thickBot="1" x14ac:dyDescent="0.35">
      <c r="A496" s="1">
        <v>4108603</v>
      </c>
      <c r="B496" s="2" t="s">
        <v>481</v>
      </c>
      <c r="C496" s="2">
        <v>3</v>
      </c>
      <c r="D496" s="2">
        <v>41920</v>
      </c>
      <c r="E496" s="9">
        <v>9471</v>
      </c>
      <c r="F496" s="9">
        <v>14350</v>
      </c>
      <c r="G496" s="3">
        <v>19.600000000000001</v>
      </c>
      <c r="H496" s="3">
        <v>14.9</v>
      </c>
      <c r="I496" s="3">
        <v>2.6</v>
      </c>
      <c r="J496" s="5">
        <f t="shared" si="7"/>
        <v>9016.7480452237305</v>
      </c>
      <c r="K496" s="2">
        <v>37.360376000000002</v>
      </c>
      <c r="L496">
        <v>-6.032896</v>
      </c>
    </row>
    <row r="497" spans="1:12" ht="34.200000000000003" customHeight="1" thickBot="1" x14ac:dyDescent="0.35">
      <c r="A497" s="1">
        <v>4108604</v>
      </c>
      <c r="B497" s="2" t="s">
        <v>481</v>
      </c>
      <c r="C497" s="2">
        <v>4</v>
      </c>
      <c r="D497" s="2">
        <v>41920</v>
      </c>
      <c r="E497" s="9">
        <v>7327</v>
      </c>
      <c r="F497" s="9">
        <v>12250</v>
      </c>
      <c r="G497" s="3">
        <v>16.8</v>
      </c>
      <c r="H497" s="3">
        <v>19.8</v>
      </c>
      <c r="I497" s="3">
        <v>2.5</v>
      </c>
      <c r="J497" s="5">
        <f t="shared" si="7"/>
        <v>5626.0838324509868</v>
      </c>
      <c r="K497" s="2">
        <v>37.358915000000003</v>
      </c>
      <c r="L497">
        <v>-6.0323019999999996</v>
      </c>
    </row>
    <row r="498" spans="1:12" ht="34.200000000000003" customHeight="1" thickBot="1" x14ac:dyDescent="0.35">
      <c r="A498" s="1">
        <v>4108801</v>
      </c>
      <c r="B498" s="2" t="s">
        <v>482</v>
      </c>
      <c r="C498" s="2">
        <v>1</v>
      </c>
      <c r="D498" s="2">
        <v>41388</v>
      </c>
      <c r="E498" s="9">
        <v>599</v>
      </c>
      <c r="F498" s="9">
        <v>12950</v>
      </c>
      <c r="G498" s="3">
        <v>12.5</v>
      </c>
      <c r="H498" s="3">
        <v>20.7</v>
      </c>
      <c r="I498" s="3">
        <v>2.1</v>
      </c>
      <c r="J498" s="5">
        <f t="shared" si="7"/>
        <v>502.07871874250679</v>
      </c>
      <c r="K498" s="2">
        <v>37.980468999999999</v>
      </c>
      <c r="L498">
        <v>-5.6318080000000004</v>
      </c>
    </row>
    <row r="499" spans="1:12" ht="34.200000000000003" customHeight="1" thickBot="1" x14ac:dyDescent="0.35">
      <c r="A499" s="1">
        <v>4108701</v>
      </c>
      <c r="B499" s="2" t="s">
        <v>483</v>
      </c>
      <c r="C499" s="2">
        <v>1</v>
      </c>
      <c r="D499" s="2">
        <v>41800</v>
      </c>
      <c r="E499" s="9">
        <v>7544</v>
      </c>
      <c r="F499" s="9">
        <v>15750</v>
      </c>
      <c r="G499" s="3">
        <v>18.399999999999999</v>
      </c>
      <c r="H499" s="3">
        <v>15.9</v>
      </c>
      <c r="I499" s="3">
        <v>2.7</v>
      </c>
      <c r="J499" s="5">
        <f t="shared" si="7"/>
        <v>7572.9730300505507</v>
      </c>
      <c r="K499" s="2">
        <v>37.386113999999999</v>
      </c>
      <c r="L499">
        <v>-6.2062179999999998</v>
      </c>
    </row>
    <row r="500" spans="1:12" ht="34.200000000000003" customHeight="1" thickBot="1" x14ac:dyDescent="0.35">
      <c r="A500" s="1">
        <v>4108702</v>
      </c>
      <c r="B500" s="2" t="s">
        <v>483</v>
      </c>
      <c r="C500" s="2">
        <v>2</v>
      </c>
      <c r="D500" s="2">
        <v>41800</v>
      </c>
      <c r="E500" s="9">
        <v>6719</v>
      </c>
      <c r="F500" s="9">
        <v>15750</v>
      </c>
      <c r="G500" s="3">
        <v>19</v>
      </c>
      <c r="H500" s="3">
        <v>17.100000000000001</v>
      </c>
      <c r="I500" s="3">
        <v>2.7</v>
      </c>
      <c r="J500" s="5">
        <f t="shared" si="7"/>
        <v>6705.3228020198821</v>
      </c>
      <c r="K500" s="2">
        <v>37.386799000000003</v>
      </c>
      <c r="L500">
        <v>-6.1959910000000002</v>
      </c>
    </row>
    <row r="501" spans="1:12" ht="34.200000000000003" customHeight="1" thickBot="1" x14ac:dyDescent="0.35">
      <c r="A501" s="1">
        <v>4108901</v>
      </c>
      <c r="B501" s="2" t="s">
        <v>484</v>
      </c>
      <c r="C501" s="2">
        <v>1</v>
      </c>
      <c r="D501" s="2">
        <v>41970</v>
      </c>
      <c r="E501" s="9">
        <v>1542</v>
      </c>
      <c r="F501" s="9">
        <v>17150</v>
      </c>
      <c r="G501" s="3">
        <v>19.7</v>
      </c>
      <c r="H501" s="3">
        <v>17.5</v>
      </c>
      <c r="I501" s="3">
        <v>2.6</v>
      </c>
      <c r="J501" s="5">
        <f t="shared" si="7"/>
        <v>1712.5959351805632</v>
      </c>
      <c r="K501" s="2">
        <v>37.444901000000002</v>
      </c>
      <c r="L501">
        <v>-6.0493300000000003</v>
      </c>
    </row>
    <row r="502" spans="1:12" ht="34.200000000000003" customHeight="1" thickBot="1" x14ac:dyDescent="0.35">
      <c r="A502" s="1">
        <v>4108902</v>
      </c>
      <c r="B502" s="2" t="s">
        <v>484</v>
      </c>
      <c r="C502" s="2">
        <v>2</v>
      </c>
      <c r="D502" s="2">
        <v>41970</v>
      </c>
      <c r="E502" s="9">
        <v>7031</v>
      </c>
      <c r="F502" s="9">
        <v>15750</v>
      </c>
      <c r="G502" s="3">
        <v>19</v>
      </c>
      <c r="H502" s="3">
        <v>16.100000000000001</v>
      </c>
      <c r="I502" s="3">
        <v>2.8</v>
      </c>
      <c r="J502" s="5">
        <f t="shared" si="7"/>
        <v>6957.8683011124203</v>
      </c>
      <c r="K502" s="2">
        <v>37.426673000000001</v>
      </c>
      <c r="L502">
        <v>-6.0148869999999999</v>
      </c>
    </row>
    <row r="503" spans="1:12" ht="34.200000000000003" customHeight="1" thickBot="1" x14ac:dyDescent="0.35">
      <c r="A503" s="1">
        <v>4109001</v>
      </c>
      <c r="B503" s="2" t="s">
        <v>642</v>
      </c>
      <c r="C503" s="2">
        <v>1</v>
      </c>
      <c r="D503" s="2">
        <v>41650</v>
      </c>
      <c r="E503" s="9">
        <v>4205</v>
      </c>
      <c r="F503" s="9">
        <v>13650</v>
      </c>
      <c r="G503" s="3">
        <v>16.7</v>
      </c>
      <c r="H503" s="3">
        <v>20.9</v>
      </c>
      <c r="I503" s="3">
        <v>2.4</v>
      </c>
      <c r="J503" s="5">
        <f t="shared" si="7"/>
        <v>3626.6089476946659</v>
      </c>
      <c r="K503" s="2">
        <v>37.074440000000003</v>
      </c>
      <c r="L503">
        <v>-5.094894</v>
      </c>
    </row>
    <row r="504" spans="1:12" ht="34.200000000000003" customHeight="1" thickBot="1" x14ac:dyDescent="0.35">
      <c r="A504" s="1">
        <v>4109101</v>
      </c>
      <c r="B504" s="2" t="s">
        <v>485</v>
      </c>
      <c r="C504" s="2">
        <v>1</v>
      </c>
      <c r="D504" s="2">
        <v>41001</v>
      </c>
      <c r="E504" s="9">
        <v>53547</v>
      </c>
      <c r="F504" s="9">
        <v>25550</v>
      </c>
      <c r="G504" s="3">
        <v>13.6</v>
      </c>
      <c r="H504" s="3">
        <v>21.9</v>
      </c>
      <c r="I504" s="3">
        <v>2.2000000000000002</v>
      </c>
      <c r="J504" s="5">
        <f t="shared" si="7"/>
        <v>86422.382136289219</v>
      </c>
      <c r="K504" s="2">
        <v>37.394089000000001</v>
      </c>
      <c r="L504">
        <v>-5.9865089999999999</v>
      </c>
    </row>
    <row r="505" spans="1:12" ht="34.200000000000003" customHeight="1" thickBot="1" x14ac:dyDescent="0.35">
      <c r="A505" s="1">
        <v>4109102</v>
      </c>
      <c r="B505" s="2" t="s">
        <v>485</v>
      </c>
      <c r="C505" s="2">
        <v>2</v>
      </c>
      <c r="D505" s="2">
        <v>41003</v>
      </c>
      <c r="E505" s="9">
        <v>73581</v>
      </c>
      <c r="F505" s="9">
        <v>15750</v>
      </c>
      <c r="G505" s="3">
        <v>14.8</v>
      </c>
      <c r="H505" s="3">
        <v>22.4</v>
      </c>
      <c r="I505" s="3">
        <v>2.4</v>
      </c>
      <c r="J505" s="5">
        <f t="shared" si="7"/>
        <v>70624.401959157418</v>
      </c>
      <c r="K505" s="2">
        <v>37.405158999999998</v>
      </c>
      <c r="L505">
        <v>-5.9910129999999997</v>
      </c>
    </row>
    <row r="506" spans="1:12" ht="34.200000000000003" customHeight="1" thickBot="1" x14ac:dyDescent="0.35">
      <c r="A506" s="1">
        <v>4109103</v>
      </c>
      <c r="B506" s="2" t="s">
        <v>485</v>
      </c>
      <c r="C506" s="2">
        <v>3</v>
      </c>
      <c r="D506" s="2">
        <v>41013</v>
      </c>
      <c r="E506" s="9">
        <v>50162</v>
      </c>
      <c r="F506" s="9">
        <v>27650</v>
      </c>
      <c r="G506" s="3">
        <v>16</v>
      </c>
      <c r="H506" s="3">
        <v>25.7</v>
      </c>
      <c r="I506" s="3">
        <v>2.5</v>
      </c>
      <c r="J506" s="5">
        <f t="shared" si="7"/>
        <v>80933.796758491459</v>
      </c>
      <c r="K506" s="2">
        <v>37.390478000000002</v>
      </c>
      <c r="L506">
        <v>-5.9828520000000003</v>
      </c>
    </row>
    <row r="507" spans="1:12" ht="34.200000000000003" customHeight="1" thickBot="1" x14ac:dyDescent="0.35">
      <c r="A507" s="1">
        <v>4109104</v>
      </c>
      <c r="B507" s="2" t="s">
        <v>485</v>
      </c>
      <c r="C507" s="2">
        <v>4</v>
      </c>
      <c r="D507" s="2">
        <v>41010</v>
      </c>
      <c r="E507" s="9">
        <v>88584</v>
      </c>
      <c r="F507" s="9">
        <v>13650</v>
      </c>
      <c r="G507" s="3">
        <v>17.600000000000001</v>
      </c>
      <c r="H507" s="3">
        <v>18.8</v>
      </c>
      <c r="I507" s="3">
        <v>2.6</v>
      </c>
      <c r="J507" s="5">
        <f t="shared" si="7"/>
        <v>75700.787582585865</v>
      </c>
      <c r="K507" s="2">
        <v>37.386097999999997</v>
      </c>
      <c r="L507">
        <v>-5.956188</v>
      </c>
    </row>
    <row r="508" spans="1:12" ht="34.200000000000003" customHeight="1" thickBot="1" x14ac:dyDescent="0.35">
      <c r="A508" s="1">
        <v>4109105</v>
      </c>
      <c r="B508" s="2" t="s">
        <v>485</v>
      </c>
      <c r="C508" s="2">
        <v>5</v>
      </c>
      <c r="D508" s="2">
        <v>41007</v>
      </c>
      <c r="E508" s="9">
        <v>67859</v>
      </c>
      <c r="F508" s="9">
        <v>17850</v>
      </c>
      <c r="G508" s="3">
        <v>17.7</v>
      </c>
      <c r="H508" s="3">
        <v>21.3</v>
      </c>
      <c r="I508" s="3">
        <v>2.6</v>
      </c>
      <c r="J508" s="5">
        <f t="shared" si="7"/>
        <v>73990.885483317921</v>
      </c>
      <c r="K508" s="2">
        <v>37.377673000000001</v>
      </c>
      <c r="L508">
        <v>-5.9803119999999996</v>
      </c>
    </row>
    <row r="509" spans="1:12" ht="34.200000000000003" customHeight="1" thickBot="1" x14ac:dyDescent="0.35">
      <c r="A509" s="1">
        <v>4109106</v>
      </c>
      <c r="B509" s="2" t="s">
        <v>485</v>
      </c>
      <c r="C509" s="2">
        <v>6</v>
      </c>
      <c r="D509" s="2">
        <v>41006</v>
      </c>
      <c r="E509" s="9">
        <v>45981</v>
      </c>
      <c r="F509" s="9">
        <v>22050</v>
      </c>
      <c r="G509" s="3">
        <v>14.1</v>
      </c>
      <c r="H509" s="3">
        <v>25.7</v>
      </c>
      <c r="I509" s="3">
        <v>2.2999999999999998</v>
      </c>
      <c r="J509" s="5">
        <f t="shared" si="7"/>
        <v>60383.397049883111</v>
      </c>
      <c r="K509" s="2">
        <v>37.381034999999997</v>
      </c>
      <c r="L509">
        <v>-5.9986689999999996</v>
      </c>
    </row>
    <row r="510" spans="1:12" ht="34.200000000000003" customHeight="1" thickBot="1" x14ac:dyDescent="0.35">
      <c r="A510" s="1">
        <v>4109107</v>
      </c>
      <c r="B510" s="2" t="s">
        <v>485</v>
      </c>
      <c r="C510" s="2">
        <v>7</v>
      </c>
      <c r="D510" s="2">
        <v>41012</v>
      </c>
      <c r="E510" s="9">
        <v>70210</v>
      </c>
      <c r="F510" s="9">
        <v>16450</v>
      </c>
      <c r="G510" s="3">
        <v>16</v>
      </c>
      <c r="H510" s="3">
        <v>19.2</v>
      </c>
      <c r="I510" s="3">
        <v>2.6</v>
      </c>
      <c r="J510" s="5">
        <f t="shared" si="7"/>
        <v>70842.804838826385</v>
      </c>
      <c r="K510" s="2">
        <v>37.403975000000003</v>
      </c>
      <c r="L510">
        <v>-5.9654790000000002</v>
      </c>
    </row>
    <row r="511" spans="1:12" ht="34.200000000000003" customHeight="1" thickBot="1" x14ac:dyDescent="0.35">
      <c r="A511" s="1">
        <v>4109108</v>
      </c>
      <c r="B511" s="2" t="s">
        <v>485</v>
      </c>
      <c r="C511" s="2">
        <v>8</v>
      </c>
      <c r="D511" s="2">
        <v>41020</v>
      </c>
      <c r="E511" s="9">
        <v>58177</v>
      </c>
      <c r="F511" s="9">
        <v>19950</v>
      </c>
      <c r="G511" s="3">
        <v>14.8</v>
      </c>
      <c r="H511" s="3">
        <v>24.7</v>
      </c>
      <c r="I511" s="3">
        <v>2.4</v>
      </c>
      <c r="J511" s="5">
        <f t="shared" si="7"/>
        <v>68969.262409506366</v>
      </c>
      <c r="K511" s="2">
        <v>37.388187000000002</v>
      </c>
      <c r="L511">
        <v>-5.9678740000000001</v>
      </c>
    </row>
    <row r="512" spans="1:12" ht="34.200000000000003" customHeight="1" thickBot="1" x14ac:dyDescent="0.35">
      <c r="A512" s="1">
        <v>4109109</v>
      </c>
      <c r="B512" s="2" t="s">
        <v>485</v>
      </c>
      <c r="C512" s="2">
        <v>9</v>
      </c>
      <c r="D512" s="2">
        <v>41011</v>
      </c>
      <c r="E512" s="9">
        <v>105565</v>
      </c>
      <c r="F512" s="9">
        <v>17850</v>
      </c>
      <c r="G512" s="3">
        <v>18.7</v>
      </c>
      <c r="H512" s="3">
        <v>15.1</v>
      </c>
      <c r="I512" s="3">
        <v>2.7</v>
      </c>
      <c r="J512" s="5">
        <f t="shared" si="7"/>
        <v>121388.69284259068</v>
      </c>
      <c r="K512" s="2">
        <v>37.379961999999999</v>
      </c>
      <c r="L512">
        <v>-5.9091240000000003</v>
      </c>
    </row>
    <row r="513" spans="1:12" ht="34.200000000000003" customHeight="1" thickBot="1" x14ac:dyDescent="0.35">
      <c r="A513" s="1">
        <v>4109110</v>
      </c>
      <c r="B513" s="2" t="s">
        <v>485</v>
      </c>
      <c r="C513" s="2">
        <v>10</v>
      </c>
      <c r="D513" s="2">
        <v>41008</v>
      </c>
      <c r="E513" s="9">
        <v>41368</v>
      </c>
      <c r="F513" s="9">
        <v>22050</v>
      </c>
      <c r="G513" s="3">
        <v>21</v>
      </c>
      <c r="H513" s="3">
        <v>15.8</v>
      </c>
      <c r="I513" s="3">
        <v>2.7</v>
      </c>
      <c r="J513" s="5">
        <f t="shared" si="7"/>
        <v>59669.055751848398</v>
      </c>
      <c r="K513" s="2">
        <v>37.324478999999997</v>
      </c>
      <c r="L513">
        <v>-5.9705599999999999</v>
      </c>
    </row>
    <row r="514" spans="1:12" ht="34.200000000000003" customHeight="1" thickBot="1" x14ac:dyDescent="0.35">
      <c r="A514" s="1">
        <v>4109111</v>
      </c>
      <c r="B514" s="2" t="s">
        <v>485</v>
      </c>
      <c r="C514" s="2">
        <v>11</v>
      </c>
      <c r="D514" s="2">
        <v>41015</v>
      </c>
      <c r="E514" s="9">
        <v>25339</v>
      </c>
      <c r="F514" s="9">
        <v>29050</v>
      </c>
      <c r="G514" s="3">
        <v>18.2</v>
      </c>
      <c r="H514" s="3">
        <v>23.8</v>
      </c>
      <c r="I514" s="3">
        <v>2.6</v>
      </c>
      <c r="J514" s="5">
        <f t="shared" si="7"/>
        <v>44031.463189764887</v>
      </c>
      <c r="K514" s="2">
        <v>37.344330999999997</v>
      </c>
      <c r="L514">
        <v>-6.008076</v>
      </c>
    </row>
    <row r="515" spans="1:12" ht="34.200000000000003" customHeight="1" thickBot="1" x14ac:dyDescent="0.35">
      <c r="A515" s="1">
        <v>4109201</v>
      </c>
      <c r="B515" s="2" t="s">
        <v>486</v>
      </c>
      <c r="C515" s="2">
        <v>1</v>
      </c>
      <c r="D515" s="2">
        <v>41340</v>
      </c>
      <c r="E515" s="9">
        <v>4672</v>
      </c>
      <c r="F515" s="9">
        <v>15050</v>
      </c>
      <c r="G515" s="3">
        <v>16.8</v>
      </c>
      <c r="H515" s="3">
        <v>18.7</v>
      </c>
      <c r="I515" s="3">
        <v>2.5</v>
      </c>
      <c r="J515" s="5">
        <f t="shared" si="7"/>
        <v>4457.3888880318818</v>
      </c>
      <c r="K515" s="2">
        <v>37.590038</v>
      </c>
      <c r="L515">
        <v>-5.7167149999999998</v>
      </c>
    </row>
    <row r="516" spans="1:12" ht="34.200000000000003" customHeight="1" thickBot="1" x14ac:dyDescent="0.35">
      <c r="A516" s="1">
        <v>4109202</v>
      </c>
      <c r="B516" s="2" t="s">
        <v>486</v>
      </c>
      <c r="C516" s="2">
        <v>2</v>
      </c>
      <c r="D516" s="2">
        <v>41340</v>
      </c>
      <c r="E516" s="9">
        <v>4696</v>
      </c>
      <c r="F516" s="9">
        <v>15050</v>
      </c>
      <c r="G516" s="3">
        <v>18.2</v>
      </c>
      <c r="H516" s="3">
        <v>18.8</v>
      </c>
      <c r="I516" s="3">
        <v>2.6</v>
      </c>
      <c r="J516" s="5">
        <f t="shared" si="7"/>
        <v>4451.5011260403408</v>
      </c>
      <c r="K516" s="2">
        <v>37.608373999999998</v>
      </c>
      <c r="L516">
        <v>-5.7345750000000004</v>
      </c>
    </row>
    <row r="517" spans="1:12" ht="34.200000000000003" customHeight="1" thickBot="1" x14ac:dyDescent="0.35">
      <c r="A517" s="1">
        <v>4109301</v>
      </c>
      <c r="B517" s="2" t="s">
        <v>487</v>
      </c>
      <c r="C517" s="2">
        <v>1</v>
      </c>
      <c r="D517" s="2">
        <v>41940</v>
      </c>
      <c r="E517" s="9">
        <v>25537</v>
      </c>
      <c r="F517" s="9">
        <v>23450</v>
      </c>
      <c r="G517" s="3">
        <v>21.1</v>
      </c>
      <c r="H517" s="3">
        <v>16</v>
      </c>
      <c r="I517" s="3">
        <v>2.8</v>
      </c>
      <c r="J517" s="5">
        <f t="shared" si="7"/>
        <v>38430.728125853588</v>
      </c>
      <c r="K517" s="2">
        <v>37.375951999999998</v>
      </c>
      <c r="L517">
        <v>-6.0482750000000003</v>
      </c>
    </row>
    <row r="518" spans="1:12" ht="34.200000000000003" customHeight="1" thickBot="1" x14ac:dyDescent="0.35">
      <c r="A518" s="1">
        <v>4109401</v>
      </c>
      <c r="B518" s="2" t="s">
        <v>488</v>
      </c>
      <c r="C518" s="2">
        <v>1</v>
      </c>
      <c r="D518" s="2">
        <v>41806</v>
      </c>
      <c r="E518" s="9">
        <v>5616</v>
      </c>
      <c r="F518" s="9">
        <v>16450</v>
      </c>
      <c r="G518" s="3">
        <v>26.2</v>
      </c>
      <c r="H518" s="3">
        <v>10.1</v>
      </c>
      <c r="I518" s="3">
        <v>2.9</v>
      </c>
      <c r="J518" s="5">
        <f t="shared" si="7"/>
        <v>6435.2942742205423</v>
      </c>
      <c r="K518" s="2">
        <v>37.374192999999998</v>
      </c>
      <c r="L518">
        <v>-6.157826</v>
      </c>
    </row>
    <row r="519" spans="1:12" ht="34.200000000000003" customHeight="1" thickBot="1" x14ac:dyDescent="0.35">
      <c r="A519" s="1">
        <v>4109402</v>
      </c>
      <c r="B519" s="2" t="s">
        <v>488</v>
      </c>
      <c r="C519" s="2">
        <v>2</v>
      </c>
      <c r="D519" s="2">
        <v>41806</v>
      </c>
      <c r="E519" s="9">
        <v>3779</v>
      </c>
      <c r="F519" s="9">
        <v>15750</v>
      </c>
      <c r="G519" s="3">
        <v>18.2</v>
      </c>
      <c r="H519" s="3">
        <v>17.899999999999999</v>
      </c>
      <c r="I519" s="3">
        <v>2.7</v>
      </c>
      <c r="J519" s="5">
        <f t="shared" si="7"/>
        <v>3712.09164780316</v>
      </c>
      <c r="K519" s="2">
        <v>37.369712</v>
      </c>
      <c r="L519">
        <v>-6.1540800000000004</v>
      </c>
    </row>
    <row r="520" spans="1:12" ht="34.200000000000003" customHeight="1" thickBot="1" x14ac:dyDescent="0.35">
      <c r="A520" s="1">
        <v>4109501</v>
      </c>
      <c r="B520" s="2" t="s">
        <v>489</v>
      </c>
      <c r="C520" s="2">
        <v>1</v>
      </c>
      <c r="D520" s="2">
        <v>41710</v>
      </c>
      <c r="E520" s="9">
        <v>12603</v>
      </c>
      <c r="F520" s="9">
        <v>15750</v>
      </c>
      <c r="G520" s="3">
        <v>14.3</v>
      </c>
      <c r="H520" s="3">
        <v>25.2</v>
      </c>
      <c r="I520" s="3">
        <v>2.6</v>
      </c>
      <c r="J520" s="5">
        <f t="shared" ref="J520:J583" si="8">E520*(F520/$H$1)*(1+(G520/100)-(H520/100))*($H$2/I520)^0.5</f>
        <v>11206.957202114612</v>
      </c>
      <c r="K520" s="2">
        <v>37.183644999999999</v>
      </c>
      <c r="L520">
        <v>-5.7806139999999999</v>
      </c>
    </row>
    <row r="521" spans="1:12" ht="34.200000000000003" customHeight="1" thickBot="1" x14ac:dyDescent="0.35">
      <c r="A521" s="1">
        <v>4109502</v>
      </c>
      <c r="B521" s="2" t="s">
        <v>489</v>
      </c>
      <c r="C521" s="2">
        <v>2</v>
      </c>
      <c r="D521" s="2">
        <v>41710</v>
      </c>
      <c r="E521" s="9">
        <v>7809</v>
      </c>
      <c r="F521" s="9">
        <v>15750</v>
      </c>
      <c r="G521" s="3">
        <v>18.5</v>
      </c>
      <c r="H521" s="3">
        <v>17.7</v>
      </c>
      <c r="I521" s="3">
        <v>2.7</v>
      </c>
      <c r="J521" s="5">
        <f t="shared" si="8"/>
        <v>7708.9782431262547</v>
      </c>
      <c r="K521" s="2">
        <v>37.179991000000001</v>
      </c>
      <c r="L521">
        <v>-5.7786179999999998</v>
      </c>
    </row>
    <row r="522" spans="1:12" ht="34.200000000000003" customHeight="1" thickBot="1" x14ac:dyDescent="0.35">
      <c r="A522" s="1">
        <v>4109503</v>
      </c>
      <c r="B522" s="2" t="s">
        <v>489</v>
      </c>
      <c r="C522" s="2">
        <v>3</v>
      </c>
      <c r="D522" s="2">
        <v>41710</v>
      </c>
      <c r="E522" s="9">
        <v>9358</v>
      </c>
      <c r="F522" s="9">
        <v>15050</v>
      </c>
      <c r="G522" s="3">
        <v>18.5</v>
      </c>
      <c r="H522" s="3">
        <v>17.2</v>
      </c>
      <c r="I522" s="3">
        <v>2.7</v>
      </c>
      <c r="J522" s="5">
        <f t="shared" si="8"/>
        <v>8871.34140673416</v>
      </c>
      <c r="K522" s="2">
        <v>37.180281999999998</v>
      </c>
      <c r="L522">
        <v>-5.7828840000000001</v>
      </c>
    </row>
    <row r="523" spans="1:12" ht="34.200000000000003" customHeight="1" thickBot="1" x14ac:dyDescent="0.35">
      <c r="A523" s="1">
        <v>4109504</v>
      </c>
      <c r="B523" s="2" t="s">
        <v>489</v>
      </c>
      <c r="C523" s="2">
        <v>4</v>
      </c>
      <c r="D523" s="2">
        <v>41710</v>
      </c>
      <c r="E523" s="9">
        <v>3741</v>
      </c>
      <c r="F523" s="9">
        <v>16450</v>
      </c>
      <c r="G523" s="3">
        <v>20.5</v>
      </c>
      <c r="H523" s="3">
        <v>14.8</v>
      </c>
      <c r="I523" s="3">
        <v>2.7</v>
      </c>
      <c r="J523" s="5">
        <f t="shared" si="8"/>
        <v>4044.7241183937449</v>
      </c>
      <c r="K523" s="2">
        <v>37.190975000000002</v>
      </c>
      <c r="L523">
        <v>-5.7810079999999999</v>
      </c>
    </row>
    <row r="524" spans="1:12" ht="34.200000000000003" customHeight="1" thickBot="1" x14ac:dyDescent="0.35">
      <c r="A524" s="1">
        <v>4109505</v>
      </c>
      <c r="B524" s="2" t="s">
        <v>489</v>
      </c>
      <c r="C524" s="2">
        <v>5</v>
      </c>
      <c r="D524" s="2">
        <v>41710</v>
      </c>
      <c r="E524" s="9">
        <v>18502</v>
      </c>
      <c r="F524" s="9">
        <v>15050</v>
      </c>
      <c r="G524" s="3">
        <v>21.6</v>
      </c>
      <c r="H524" s="3">
        <v>12</v>
      </c>
      <c r="I524" s="3">
        <v>2.8</v>
      </c>
      <c r="J524" s="5">
        <f t="shared" si="8"/>
        <v>18634.978842870969</v>
      </c>
      <c r="K524" s="2">
        <v>37.168532999999996</v>
      </c>
      <c r="L524">
        <v>-5.7975589999999997</v>
      </c>
    </row>
    <row r="525" spans="1:12" ht="34.200000000000003" customHeight="1" thickBot="1" x14ac:dyDescent="0.35">
      <c r="A525" s="1">
        <v>4109601</v>
      </c>
      <c r="B525" s="2" t="s">
        <v>490</v>
      </c>
      <c r="C525" s="2">
        <v>1</v>
      </c>
      <c r="D525" s="2">
        <v>41907</v>
      </c>
      <c r="E525" s="9">
        <v>8072</v>
      </c>
      <c r="F525" s="9">
        <v>19250</v>
      </c>
      <c r="G525" s="3">
        <v>16.7</v>
      </c>
      <c r="H525" s="3">
        <v>18.7</v>
      </c>
      <c r="I525" s="3">
        <v>2.8</v>
      </c>
      <c r="J525" s="5">
        <f t="shared" si="8"/>
        <v>9298.2482293813573</v>
      </c>
      <c r="K525" s="2">
        <v>37.415661999999998</v>
      </c>
      <c r="L525">
        <v>-6.0603129999999998</v>
      </c>
    </row>
    <row r="526" spans="1:12" ht="34.200000000000003" customHeight="1" thickBot="1" x14ac:dyDescent="0.35">
      <c r="A526" s="1">
        <v>4109701</v>
      </c>
      <c r="B526" s="2" t="s">
        <v>491</v>
      </c>
      <c r="C526" s="2">
        <v>1</v>
      </c>
      <c r="D526" s="2">
        <v>41840</v>
      </c>
      <c r="E526" s="9">
        <v>2320</v>
      </c>
      <c r="F526" s="9">
        <v>14350</v>
      </c>
      <c r="G526" s="3">
        <v>21.7</v>
      </c>
      <c r="H526" s="3">
        <v>16.2</v>
      </c>
      <c r="I526" s="3">
        <v>2.6</v>
      </c>
      <c r="J526" s="5">
        <f t="shared" si="8"/>
        <v>2225.6038329734256</v>
      </c>
      <c r="K526" s="2">
        <v>37.249276000000002</v>
      </c>
      <c r="L526">
        <v>-6.3299339999999997</v>
      </c>
    </row>
    <row r="527" spans="1:12" ht="34.200000000000003" customHeight="1" thickBot="1" x14ac:dyDescent="0.35">
      <c r="A527" s="1">
        <v>4109702</v>
      </c>
      <c r="B527" s="2" t="s">
        <v>491</v>
      </c>
      <c r="C527" s="2">
        <v>2</v>
      </c>
      <c r="D527" s="2">
        <v>41840</v>
      </c>
      <c r="E527" s="9">
        <v>2322</v>
      </c>
      <c r="F527" s="9">
        <v>12950</v>
      </c>
      <c r="G527" s="3">
        <v>18.5</v>
      </c>
      <c r="H527" s="3">
        <v>17.5</v>
      </c>
      <c r="I527" s="3">
        <v>2.6</v>
      </c>
      <c r="J527" s="5">
        <f t="shared" si="8"/>
        <v>1924.4599287220101</v>
      </c>
      <c r="K527" s="2">
        <v>37.216338999999998</v>
      </c>
      <c r="L527">
        <v>-6.3128960000000003</v>
      </c>
    </row>
    <row r="528" spans="1:12" ht="34.200000000000003" customHeight="1" thickBot="1" x14ac:dyDescent="0.35">
      <c r="A528" s="1">
        <v>4110001</v>
      </c>
      <c r="B528" s="2" t="s">
        <v>492</v>
      </c>
      <c r="C528" s="2">
        <v>1</v>
      </c>
      <c r="D528" s="2">
        <v>41660</v>
      </c>
      <c r="E528" s="9">
        <v>1002</v>
      </c>
      <c r="F528" s="9">
        <v>12950</v>
      </c>
      <c r="G528" s="3">
        <v>12.1</v>
      </c>
      <c r="H528" s="3">
        <v>24</v>
      </c>
      <c r="I528" s="3">
        <v>2.1</v>
      </c>
      <c r="J528" s="5">
        <f t="shared" si="8"/>
        <v>806.02022600225632</v>
      </c>
      <c r="K528" s="2">
        <v>37.071672</v>
      </c>
      <c r="L528">
        <v>-5.1854120000000004</v>
      </c>
    </row>
    <row r="529" spans="1:12" ht="34.200000000000003" customHeight="1" thickBot="1" x14ac:dyDescent="0.35">
      <c r="A529" s="1">
        <v>4109801</v>
      </c>
      <c r="B529" s="2" t="s">
        <v>493</v>
      </c>
      <c r="C529" s="2">
        <v>1</v>
      </c>
      <c r="D529" s="2">
        <v>41808</v>
      </c>
      <c r="E529" s="9">
        <v>6933</v>
      </c>
      <c r="F529" s="9">
        <v>15050</v>
      </c>
      <c r="G529" s="3">
        <v>18.8</v>
      </c>
      <c r="H529" s="3">
        <v>16.100000000000001</v>
      </c>
      <c r="I529" s="3">
        <v>2.8</v>
      </c>
      <c r="J529" s="5">
        <f t="shared" si="8"/>
        <v>6543.2169022859753</v>
      </c>
      <c r="K529" s="2">
        <v>37.394832999999998</v>
      </c>
      <c r="L529">
        <v>-6.1390650000000004</v>
      </c>
    </row>
    <row r="530" spans="1:12" ht="34.200000000000003" customHeight="1" thickBot="1" x14ac:dyDescent="0.35">
      <c r="A530" s="1">
        <v>4109901</v>
      </c>
      <c r="B530" s="2" t="s">
        <v>494</v>
      </c>
      <c r="C530" s="2">
        <v>1</v>
      </c>
      <c r="D530" s="2">
        <v>41350</v>
      </c>
      <c r="E530" s="9">
        <v>1728</v>
      </c>
      <c r="F530" s="9">
        <v>13650</v>
      </c>
      <c r="G530" s="3">
        <v>17.600000000000001</v>
      </c>
      <c r="H530" s="3">
        <v>20.8</v>
      </c>
      <c r="I530" s="3">
        <v>2.4</v>
      </c>
      <c r="J530" s="5">
        <f t="shared" si="8"/>
        <v>1505.872890471046</v>
      </c>
      <c r="K530" s="2">
        <v>37.665930000000003</v>
      </c>
      <c r="L530">
        <v>-5.7170940000000003</v>
      </c>
    </row>
    <row r="531" spans="1:12" ht="34.200000000000003" customHeight="1" thickBot="1" x14ac:dyDescent="0.35">
      <c r="A531" s="1">
        <v>4109902</v>
      </c>
      <c r="B531" s="2" t="s">
        <v>494</v>
      </c>
      <c r="C531" s="2">
        <v>2</v>
      </c>
      <c r="D531" s="2">
        <v>41350</v>
      </c>
      <c r="E531" s="9">
        <v>1665</v>
      </c>
      <c r="F531" s="9">
        <v>12950</v>
      </c>
      <c r="G531" s="3">
        <v>15.4</v>
      </c>
      <c r="H531" s="3">
        <v>22.3</v>
      </c>
      <c r="I531" s="3">
        <v>2.4</v>
      </c>
      <c r="J531" s="5">
        <f t="shared" si="8"/>
        <v>1323.9459498476326</v>
      </c>
      <c r="K531" s="2">
        <v>37.650466999999999</v>
      </c>
      <c r="L531">
        <v>-5.7169150000000002</v>
      </c>
    </row>
    <row r="532" spans="1:12" ht="34.200000000000003" customHeight="1" thickBot="1" x14ac:dyDescent="0.35">
      <c r="A532" s="1">
        <v>4109903</v>
      </c>
      <c r="B532" s="2" t="s">
        <v>494</v>
      </c>
      <c r="C532" s="2">
        <v>3</v>
      </c>
      <c r="D532" s="2">
        <v>41350</v>
      </c>
      <c r="E532" s="9">
        <v>1651</v>
      </c>
      <c r="F532" s="9">
        <v>14350</v>
      </c>
      <c r="G532" s="3">
        <v>17.100000000000001</v>
      </c>
      <c r="H532" s="3">
        <v>21.7</v>
      </c>
      <c r="I532" s="3">
        <v>2.2999999999999998</v>
      </c>
      <c r="J532" s="5">
        <f t="shared" si="8"/>
        <v>1522.7395227781597</v>
      </c>
      <c r="K532" s="2">
        <v>37.659773999999999</v>
      </c>
      <c r="L532">
        <v>-5.7147889999999997</v>
      </c>
    </row>
    <row r="533" spans="1:12" ht="34.200000000000003" customHeight="1" thickBot="1" x14ac:dyDescent="0.35">
      <c r="A533" s="1">
        <v>4110101</v>
      </c>
      <c r="B533" s="2" t="s">
        <v>495</v>
      </c>
      <c r="C533" s="2">
        <v>1</v>
      </c>
      <c r="D533" s="2">
        <v>41318</v>
      </c>
      <c r="E533" s="9">
        <v>7741</v>
      </c>
      <c r="F533" s="9">
        <v>14350</v>
      </c>
      <c r="G533" s="3">
        <v>18.7</v>
      </c>
      <c r="H533" s="3">
        <v>16.3</v>
      </c>
      <c r="I533" s="3">
        <v>2.8</v>
      </c>
      <c r="J533" s="5">
        <f t="shared" si="8"/>
        <v>6945.6372632399025</v>
      </c>
      <c r="K533" s="2">
        <v>37.589503999999998</v>
      </c>
      <c r="L533">
        <v>-5.8719150000000004</v>
      </c>
    </row>
    <row r="534" spans="1:12" ht="34.200000000000003" customHeight="1" thickBot="1" x14ac:dyDescent="0.35">
      <c r="A534" s="1">
        <v>4110201</v>
      </c>
      <c r="B534" s="2" t="s">
        <v>643</v>
      </c>
      <c r="C534" s="2">
        <v>1</v>
      </c>
      <c r="D534" s="2">
        <v>41520</v>
      </c>
      <c r="E534" s="9">
        <v>7198</v>
      </c>
      <c r="F534" s="9">
        <v>15750</v>
      </c>
      <c r="G534" s="3">
        <v>20.399999999999999</v>
      </c>
      <c r="H534" s="3">
        <v>16.3</v>
      </c>
      <c r="I534" s="3">
        <v>2.9</v>
      </c>
      <c r="J534" s="5">
        <f t="shared" si="8"/>
        <v>7080.8650905548229</v>
      </c>
      <c r="K534" s="2">
        <v>37.385826000000002</v>
      </c>
      <c r="L534">
        <v>-5.721635</v>
      </c>
    </row>
    <row r="535" spans="1:12" ht="34.200000000000003" customHeight="1" thickBot="1" x14ac:dyDescent="0.35">
      <c r="A535" s="1">
        <v>4110202</v>
      </c>
      <c r="B535" s="2" t="s">
        <v>643</v>
      </c>
      <c r="C535" s="2">
        <v>2</v>
      </c>
      <c r="D535" s="2">
        <v>41520</v>
      </c>
      <c r="E535" s="9">
        <v>1726</v>
      </c>
      <c r="F535" s="9">
        <v>15050</v>
      </c>
      <c r="G535" s="3">
        <v>16.600000000000001</v>
      </c>
      <c r="H535" s="3">
        <v>20.9</v>
      </c>
      <c r="I535" s="3">
        <v>2.8</v>
      </c>
      <c r="J535" s="5">
        <f t="shared" si="8"/>
        <v>1517.9323000312399</v>
      </c>
      <c r="K535" s="2">
        <v>37.390895999999998</v>
      </c>
      <c r="L535">
        <v>-5.7134619999999998</v>
      </c>
    </row>
    <row r="536" spans="1:12" ht="34.200000000000003" customHeight="1" thickBot="1" x14ac:dyDescent="0.35">
      <c r="A536" s="1">
        <v>4110203</v>
      </c>
      <c r="B536" s="2" t="s">
        <v>643</v>
      </c>
      <c r="C536" s="2">
        <v>3</v>
      </c>
      <c r="D536" s="2">
        <v>41520</v>
      </c>
      <c r="E536" s="9">
        <v>10358</v>
      </c>
      <c r="F536" s="9">
        <v>15750</v>
      </c>
      <c r="G536" s="3">
        <v>21.8</v>
      </c>
      <c r="H536" s="3">
        <v>15.2</v>
      </c>
      <c r="I536" s="3">
        <v>3</v>
      </c>
      <c r="J536" s="5">
        <f t="shared" si="8"/>
        <v>10258.768535821906</v>
      </c>
      <c r="K536" s="2">
        <v>37.392296000000002</v>
      </c>
      <c r="L536">
        <v>-5.7203670000000004</v>
      </c>
    </row>
    <row r="537" spans="1:12" ht="34.200000000000003" customHeight="1" thickBot="1" x14ac:dyDescent="0.35">
      <c r="A537" s="1">
        <v>1100101</v>
      </c>
      <c r="B537" s="2" t="s">
        <v>544</v>
      </c>
      <c r="C537" s="2">
        <v>1</v>
      </c>
      <c r="D537" s="2">
        <v>11180</v>
      </c>
      <c r="E537" s="9">
        <v>2595</v>
      </c>
      <c r="F537" s="9">
        <v>13650</v>
      </c>
      <c r="G537" s="3">
        <v>13.9</v>
      </c>
      <c r="H537" s="3">
        <v>17.600000000000001</v>
      </c>
      <c r="I537" s="3">
        <v>2.4</v>
      </c>
      <c r="J537" s="5">
        <f t="shared" si="8"/>
        <v>2249.7427908307668</v>
      </c>
      <c r="K537" s="2">
        <v>36.443765999999997</v>
      </c>
      <c r="L537">
        <v>-5.6938940000000002</v>
      </c>
    </row>
    <row r="538" spans="1:12" ht="34.200000000000003" customHeight="1" thickBot="1" x14ac:dyDescent="0.35">
      <c r="A538" s="1">
        <v>1100102</v>
      </c>
      <c r="B538" s="2" t="s">
        <v>544</v>
      </c>
      <c r="C538" s="2">
        <v>2</v>
      </c>
      <c r="D538" s="2">
        <v>11180</v>
      </c>
      <c r="E538" s="9">
        <v>2602</v>
      </c>
      <c r="F538" s="9">
        <v>15750</v>
      </c>
      <c r="G538" s="3">
        <v>16.2</v>
      </c>
      <c r="H538" s="3">
        <v>16.8</v>
      </c>
      <c r="I538" s="3">
        <v>2.6</v>
      </c>
      <c r="J538" s="5">
        <f t="shared" si="8"/>
        <v>2581.2481025319098</v>
      </c>
      <c r="K538" s="2">
        <v>36.460413000000003</v>
      </c>
      <c r="L538">
        <v>-5.7282580000000003</v>
      </c>
    </row>
    <row r="539" spans="1:12" ht="34.200000000000003" customHeight="1" thickBot="1" x14ac:dyDescent="0.35">
      <c r="A539" s="1">
        <v>1100201</v>
      </c>
      <c r="B539" s="2" t="s">
        <v>545</v>
      </c>
      <c r="C539" s="2">
        <v>1</v>
      </c>
      <c r="D539" s="2">
        <v>11693</v>
      </c>
      <c r="E539" s="9">
        <v>4896</v>
      </c>
      <c r="F539" s="9">
        <v>14350</v>
      </c>
      <c r="G539" s="3">
        <v>15.2</v>
      </c>
      <c r="H539" s="3">
        <v>19.899999999999999</v>
      </c>
      <c r="I539" s="3">
        <v>2.6</v>
      </c>
      <c r="J539" s="5">
        <f t="shared" si="8"/>
        <v>4242.6941563264872</v>
      </c>
      <c r="K539" s="2">
        <v>36.902569999999997</v>
      </c>
      <c r="L539">
        <v>-5.1702120000000003</v>
      </c>
    </row>
    <row r="540" spans="1:12" ht="34.200000000000003" customHeight="1" thickBot="1" x14ac:dyDescent="0.35">
      <c r="A540" s="1">
        <v>1100301</v>
      </c>
      <c r="B540" s="2" t="s">
        <v>546</v>
      </c>
      <c r="C540" s="2">
        <v>1</v>
      </c>
      <c r="D540" s="2">
        <v>11639</v>
      </c>
      <c r="E540" s="9">
        <v>1445</v>
      </c>
      <c r="F540" s="9">
        <v>15050</v>
      </c>
      <c r="G540" s="3">
        <v>16</v>
      </c>
      <c r="H540" s="3">
        <v>20.9</v>
      </c>
      <c r="I540" s="3">
        <v>2.2000000000000002</v>
      </c>
      <c r="J540" s="5">
        <f t="shared" si="8"/>
        <v>1424.6747018367032</v>
      </c>
      <c r="K540" s="2">
        <v>36.655265</v>
      </c>
      <c r="L540">
        <v>-5.6442519999999998</v>
      </c>
    </row>
    <row r="541" spans="1:12" ht="34.200000000000003" customHeight="1" thickBot="1" x14ac:dyDescent="0.35">
      <c r="A541" s="1">
        <v>1100401</v>
      </c>
      <c r="B541" s="2" t="s">
        <v>547</v>
      </c>
      <c r="C541" s="2">
        <v>1</v>
      </c>
      <c r="D541" s="2">
        <v>11201</v>
      </c>
      <c r="E541" s="9">
        <v>34238</v>
      </c>
      <c r="F541" s="9">
        <v>18550</v>
      </c>
      <c r="G541" s="3">
        <v>17.3</v>
      </c>
      <c r="H541" s="3">
        <v>20.6</v>
      </c>
      <c r="I541" s="3">
        <v>2.5</v>
      </c>
      <c r="J541" s="5">
        <f t="shared" si="8"/>
        <v>39687.245738673184</v>
      </c>
      <c r="K541" s="2">
        <v>36.132022999999997</v>
      </c>
      <c r="L541">
        <v>-5.4484139999999996</v>
      </c>
    </row>
    <row r="542" spans="1:12" ht="34.200000000000003" customHeight="1" thickBot="1" x14ac:dyDescent="0.35">
      <c r="A542" s="1">
        <v>1100402</v>
      </c>
      <c r="B542" s="2" t="s">
        <v>547</v>
      </c>
      <c r="C542" s="2">
        <v>2</v>
      </c>
      <c r="D542" s="2">
        <v>11201</v>
      </c>
      <c r="E542" s="9">
        <v>30751</v>
      </c>
      <c r="F542" s="9">
        <v>17150</v>
      </c>
      <c r="G542" s="3">
        <v>20.3</v>
      </c>
      <c r="H542" s="3">
        <v>15.8</v>
      </c>
      <c r="I542" s="3">
        <v>2.8</v>
      </c>
      <c r="J542" s="5">
        <f t="shared" si="8"/>
        <v>33651.376330106643</v>
      </c>
      <c r="K542" s="2">
        <v>36.136837999999997</v>
      </c>
      <c r="L542">
        <v>-5.4400199999999996</v>
      </c>
    </row>
    <row r="543" spans="1:12" ht="34.200000000000003" customHeight="1" thickBot="1" x14ac:dyDescent="0.35">
      <c r="A543" s="1">
        <v>1100403</v>
      </c>
      <c r="B543" s="2" t="s">
        <v>547</v>
      </c>
      <c r="C543" s="2">
        <v>3</v>
      </c>
      <c r="D543" s="2">
        <v>11201</v>
      </c>
      <c r="E543" s="9">
        <v>21828</v>
      </c>
      <c r="F543" s="9">
        <v>13650</v>
      </c>
      <c r="G543" s="3">
        <v>19.8</v>
      </c>
      <c r="H543" s="3">
        <v>16.8</v>
      </c>
      <c r="I543" s="3">
        <v>2.7</v>
      </c>
      <c r="J543" s="5">
        <f t="shared" si="8"/>
        <v>19082.889174544507</v>
      </c>
      <c r="K543" s="2">
        <v>36.129221999999999</v>
      </c>
      <c r="L543">
        <v>-5.4489850000000004</v>
      </c>
    </row>
    <row r="544" spans="1:12" ht="34.200000000000003" customHeight="1" thickBot="1" x14ac:dyDescent="0.35">
      <c r="A544" s="1">
        <v>1100404</v>
      </c>
      <c r="B544" s="2" t="s">
        <v>547</v>
      </c>
      <c r="C544" s="2">
        <v>4</v>
      </c>
      <c r="D544" s="2">
        <v>11201</v>
      </c>
      <c r="E544" s="9">
        <v>36663</v>
      </c>
      <c r="F544" s="9">
        <v>16450</v>
      </c>
      <c r="G544" s="3">
        <v>20.5</v>
      </c>
      <c r="H544" s="3">
        <v>15.9</v>
      </c>
      <c r="I544" s="3">
        <v>2.7</v>
      </c>
      <c r="J544" s="5">
        <f t="shared" si="8"/>
        <v>39227.071996163279</v>
      </c>
      <c r="K544" s="2">
        <v>36.131509999999999</v>
      </c>
      <c r="L544">
        <v>-5.4507459999999996</v>
      </c>
    </row>
    <row r="545" spans="1:12" ht="34.200000000000003" customHeight="1" thickBot="1" x14ac:dyDescent="0.35">
      <c r="A545" s="1">
        <v>1100501</v>
      </c>
      <c r="B545" s="2" t="s">
        <v>548</v>
      </c>
      <c r="C545" s="2">
        <v>1</v>
      </c>
      <c r="D545" s="2">
        <v>11680</v>
      </c>
      <c r="E545" s="9">
        <v>4486</v>
      </c>
      <c r="F545" s="9">
        <v>13650</v>
      </c>
      <c r="G545" s="3">
        <v>14.4</v>
      </c>
      <c r="H545" s="3">
        <v>22.5</v>
      </c>
      <c r="I545" s="3">
        <v>2.2999999999999998</v>
      </c>
      <c r="J545" s="5">
        <f t="shared" si="8"/>
        <v>3791.2786305741161</v>
      </c>
      <c r="K545" s="2">
        <v>36.877774000000002</v>
      </c>
      <c r="L545">
        <v>-5.409446</v>
      </c>
    </row>
    <row r="546" spans="1:12" ht="34.200000000000003" customHeight="1" thickBot="1" x14ac:dyDescent="0.35">
      <c r="A546" s="1">
        <v>1100502</v>
      </c>
      <c r="B546" s="2" t="s">
        <v>548</v>
      </c>
      <c r="C546" s="2">
        <v>2</v>
      </c>
      <c r="D546" s="2">
        <v>11680</v>
      </c>
      <c r="E546" s="9">
        <v>925</v>
      </c>
      <c r="F546" s="9">
        <v>14350</v>
      </c>
      <c r="G546" s="3">
        <v>15</v>
      </c>
      <c r="H546" s="3">
        <v>18.7</v>
      </c>
      <c r="I546" s="3">
        <v>2.2000000000000002</v>
      </c>
      <c r="J546" s="5">
        <f t="shared" si="8"/>
        <v>880.5434066586663</v>
      </c>
      <c r="K546" s="2">
        <v>36.891292</v>
      </c>
      <c r="L546">
        <v>-5.4340909999999996</v>
      </c>
    </row>
    <row r="547" spans="1:12" ht="34.200000000000003" customHeight="1" thickBot="1" x14ac:dyDescent="0.35">
      <c r="A547" s="1">
        <v>1100601</v>
      </c>
      <c r="B547" s="2" t="s">
        <v>549</v>
      </c>
      <c r="C547" s="2">
        <v>1</v>
      </c>
      <c r="D547" s="2">
        <v>11630</v>
      </c>
      <c r="E547" s="9">
        <v>6413</v>
      </c>
      <c r="F547" s="9">
        <v>12950</v>
      </c>
      <c r="G547" s="3">
        <v>14.4</v>
      </c>
      <c r="H547" s="3">
        <v>19.7</v>
      </c>
      <c r="I547" s="3">
        <v>2.5</v>
      </c>
      <c r="J547" s="5">
        <f t="shared" si="8"/>
        <v>5082.2166187113507</v>
      </c>
      <c r="K547" s="2">
        <v>36.748241999999998</v>
      </c>
      <c r="L547">
        <v>-5.8055019999999997</v>
      </c>
    </row>
    <row r="548" spans="1:12" ht="34.200000000000003" customHeight="1" thickBot="1" x14ac:dyDescent="0.35">
      <c r="A548" s="1">
        <v>1100602</v>
      </c>
      <c r="B548" s="2" t="s">
        <v>549</v>
      </c>
      <c r="C548" s="2">
        <v>2</v>
      </c>
      <c r="D548" s="2">
        <v>11630</v>
      </c>
      <c r="E548" s="9">
        <v>13646</v>
      </c>
      <c r="F548" s="9">
        <v>14350</v>
      </c>
      <c r="G548" s="3">
        <v>18</v>
      </c>
      <c r="H548" s="3">
        <v>17</v>
      </c>
      <c r="I548" s="3">
        <v>2.6</v>
      </c>
      <c r="J548" s="5">
        <f t="shared" si="8"/>
        <v>12532.397370404853</v>
      </c>
      <c r="K548" s="2">
        <v>36.750652000000002</v>
      </c>
      <c r="L548">
        <v>-5.8046920000000002</v>
      </c>
    </row>
    <row r="549" spans="1:12" ht="34.200000000000003" customHeight="1" thickBot="1" x14ac:dyDescent="0.35">
      <c r="A549" s="1">
        <v>1100603</v>
      </c>
      <c r="B549" s="2" t="s">
        <v>549</v>
      </c>
      <c r="C549" s="2">
        <v>3</v>
      </c>
      <c r="D549" s="2">
        <v>11630</v>
      </c>
      <c r="E549" s="9">
        <v>4993</v>
      </c>
      <c r="F549" s="9">
        <v>14350</v>
      </c>
      <c r="G549" s="3">
        <v>18.5</v>
      </c>
      <c r="H549" s="3">
        <v>16.8</v>
      </c>
      <c r="I549" s="3">
        <v>2.5</v>
      </c>
      <c r="J549" s="5">
        <f t="shared" si="8"/>
        <v>4708.7605331888735</v>
      </c>
      <c r="K549" s="2">
        <v>36.789206999999998</v>
      </c>
      <c r="L549">
        <v>-5.8475830000000002</v>
      </c>
    </row>
    <row r="550" spans="1:12" ht="34.200000000000003" customHeight="1" thickBot="1" x14ac:dyDescent="0.35">
      <c r="A550" s="1">
        <v>1100604</v>
      </c>
      <c r="B550" s="2" t="s">
        <v>549</v>
      </c>
      <c r="C550" s="2">
        <v>4</v>
      </c>
      <c r="D550" s="2">
        <v>11630</v>
      </c>
      <c r="E550" s="9">
        <v>5101</v>
      </c>
      <c r="F550" s="9">
        <v>15750</v>
      </c>
      <c r="G550" s="3">
        <v>16.600000000000001</v>
      </c>
      <c r="H550" s="3">
        <v>14.9</v>
      </c>
      <c r="I550" s="3">
        <v>2.6</v>
      </c>
      <c r="J550" s="5">
        <f t="shared" si="8"/>
        <v>5177.4075129959365</v>
      </c>
      <c r="K550" s="2">
        <v>36.756397</v>
      </c>
      <c r="L550">
        <v>-5.7725590000000002</v>
      </c>
    </row>
    <row r="551" spans="1:12" ht="34.200000000000003" customHeight="1" thickBot="1" x14ac:dyDescent="0.35">
      <c r="A551" s="1">
        <v>1100701</v>
      </c>
      <c r="B551" s="2" t="s">
        <v>550</v>
      </c>
      <c r="C551" s="2">
        <v>1</v>
      </c>
      <c r="D551" s="2">
        <v>11160</v>
      </c>
      <c r="E551" s="9">
        <v>6438</v>
      </c>
      <c r="F551" s="9">
        <v>14350</v>
      </c>
      <c r="G551" s="3">
        <v>18.100000000000001</v>
      </c>
      <c r="H551" s="3">
        <v>17.2</v>
      </c>
      <c r="I551" s="3">
        <v>2.7</v>
      </c>
      <c r="J551" s="5">
        <f t="shared" si="8"/>
        <v>5796.3465972396189</v>
      </c>
      <c r="K551" s="2">
        <v>36.193486</v>
      </c>
      <c r="L551">
        <v>-5.9200049999999997</v>
      </c>
    </row>
    <row r="552" spans="1:12" ht="34.200000000000003" customHeight="1" thickBot="1" x14ac:dyDescent="0.35">
      <c r="A552" s="1">
        <v>1100702</v>
      </c>
      <c r="B552" s="2" t="s">
        <v>550</v>
      </c>
      <c r="C552" s="2">
        <v>2</v>
      </c>
      <c r="D552" s="2">
        <v>11160</v>
      </c>
      <c r="E552" s="9">
        <v>9380</v>
      </c>
      <c r="F552" s="9">
        <v>13650</v>
      </c>
      <c r="G552" s="3">
        <v>15.6</v>
      </c>
      <c r="H552" s="3">
        <v>20.2</v>
      </c>
      <c r="I552" s="3">
        <v>2.7</v>
      </c>
      <c r="J552" s="5">
        <f t="shared" si="8"/>
        <v>7595.2866913697299</v>
      </c>
      <c r="K552" s="2">
        <v>36.191335000000002</v>
      </c>
      <c r="L552">
        <v>-5.9228880000000004</v>
      </c>
    </row>
    <row r="553" spans="1:12" ht="34.200000000000003" customHeight="1" thickBot="1" x14ac:dyDescent="0.35">
      <c r="A553" s="1">
        <v>1100703</v>
      </c>
      <c r="B553" s="2" t="s">
        <v>550</v>
      </c>
      <c r="C553" s="2">
        <v>3</v>
      </c>
      <c r="D553" s="2">
        <v>11160</v>
      </c>
      <c r="E553" s="9">
        <v>3351</v>
      </c>
      <c r="F553" s="9">
        <v>15050</v>
      </c>
      <c r="G553" s="3">
        <v>16</v>
      </c>
      <c r="H553" s="3">
        <v>18.5</v>
      </c>
      <c r="I553" s="3">
        <v>2.5</v>
      </c>
      <c r="J553" s="5">
        <f t="shared" si="8"/>
        <v>3177.5158686490154</v>
      </c>
      <c r="K553" s="2">
        <v>36.185763999999999</v>
      </c>
      <c r="L553">
        <v>-5.9138700000000002</v>
      </c>
    </row>
    <row r="554" spans="1:12" ht="34.200000000000003" customHeight="1" thickBot="1" x14ac:dyDescent="0.35">
      <c r="A554" s="1">
        <v>1100704</v>
      </c>
      <c r="B554" s="2" t="s">
        <v>550</v>
      </c>
      <c r="C554" s="2">
        <v>4</v>
      </c>
      <c r="D554" s="2">
        <v>11160</v>
      </c>
      <c r="E554" s="9">
        <v>3040</v>
      </c>
      <c r="F554" s="9">
        <v>13650</v>
      </c>
      <c r="G554" s="3">
        <v>14.5</v>
      </c>
      <c r="H554" s="3">
        <v>17.399999999999999</v>
      </c>
      <c r="I554" s="3">
        <v>2.2999999999999998</v>
      </c>
      <c r="J554" s="5">
        <f t="shared" si="8"/>
        <v>2714.5868182511226</v>
      </c>
      <c r="K554" s="2">
        <v>36.199344000000004</v>
      </c>
      <c r="L554">
        <v>-5.8606230000000004</v>
      </c>
    </row>
    <row r="555" spans="1:12" ht="34.200000000000003" customHeight="1" thickBot="1" x14ac:dyDescent="0.35">
      <c r="A555" s="1">
        <v>1100801</v>
      </c>
      <c r="B555" s="2" t="s">
        <v>644</v>
      </c>
      <c r="C555" s="2">
        <v>1</v>
      </c>
      <c r="D555" s="2">
        <v>11370</v>
      </c>
      <c r="E555" s="9">
        <v>17331</v>
      </c>
      <c r="F555" s="9">
        <v>17850</v>
      </c>
      <c r="G555" s="3">
        <v>19.7</v>
      </c>
      <c r="H555" s="3">
        <v>15.2</v>
      </c>
      <c r="I555" s="3">
        <v>2.8</v>
      </c>
      <c r="J555" s="5">
        <f t="shared" si="8"/>
        <v>19739.734471572516</v>
      </c>
      <c r="K555" s="2">
        <v>36.228588000000002</v>
      </c>
      <c r="L555">
        <v>-5.582217</v>
      </c>
    </row>
    <row r="556" spans="1:12" ht="34.200000000000003" customHeight="1" thickBot="1" x14ac:dyDescent="0.35">
      <c r="A556" s="1">
        <v>1100802</v>
      </c>
      <c r="B556" s="2" t="s">
        <v>644</v>
      </c>
      <c r="C556" s="2">
        <v>2</v>
      </c>
      <c r="D556" s="2">
        <v>11370</v>
      </c>
      <c r="E556" s="9">
        <v>1967</v>
      </c>
      <c r="F556" s="9">
        <v>17850</v>
      </c>
      <c r="G556" s="3">
        <v>18.5</v>
      </c>
      <c r="H556" s="3">
        <v>17.7</v>
      </c>
      <c r="I556" s="3">
        <v>2.9</v>
      </c>
      <c r="J556" s="5">
        <f t="shared" si="8"/>
        <v>2123.4708448042347</v>
      </c>
      <c r="K556" s="2">
        <v>36.181440000000002</v>
      </c>
      <c r="L556">
        <v>-5.4300160000000002</v>
      </c>
    </row>
    <row r="557" spans="1:12" ht="34.200000000000003" customHeight="1" thickBot="1" x14ac:dyDescent="0.35">
      <c r="A557" s="1">
        <v>1100803</v>
      </c>
      <c r="B557" s="2" t="s">
        <v>644</v>
      </c>
      <c r="C557" s="2">
        <v>3</v>
      </c>
      <c r="D557" s="2">
        <v>11370</v>
      </c>
      <c r="E557" s="9">
        <v>4936</v>
      </c>
      <c r="F557" s="9">
        <v>19250</v>
      </c>
      <c r="G557" s="3">
        <v>20.6</v>
      </c>
      <c r="H557" s="3">
        <v>11.7</v>
      </c>
      <c r="I557" s="3">
        <v>2.8</v>
      </c>
      <c r="J557" s="5">
        <f t="shared" si="8"/>
        <v>6318.251919002767</v>
      </c>
      <c r="K557" s="2">
        <v>36.213051999999998</v>
      </c>
      <c r="L557">
        <v>-5.4654569999999998</v>
      </c>
    </row>
    <row r="558" spans="1:12" ht="34.200000000000003" customHeight="1" thickBot="1" x14ac:dyDescent="0.35">
      <c r="A558" s="1">
        <v>1190101</v>
      </c>
      <c r="B558" s="2" t="s">
        <v>585</v>
      </c>
      <c r="C558" s="2">
        <v>1</v>
      </c>
      <c r="D558" s="2">
        <v>11190</v>
      </c>
      <c r="E558" s="9">
        <v>7237</v>
      </c>
      <c r="F558" s="9">
        <v>14350</v>
      </c>
      <c r="G558" s="3">
        <v>16.600000000000001</v>
      </c>
      <c r="H558" s="3">
        <v>16.3</v>
      </c>
      <c r="I558" s="3">
        <v>2.4</v>
      </c>
      <c r="J558" s="5">
        <f t="shared" si="8"/>
        <v>6869.8613941048106</v>
      </c>
      <c r="K558" s="2">
        <v>36.341410000000003</v>
      </c>
      <c r="L558">
        <v>-5.805002</v>
      </c>
    </row>
    <row r="559" spans="1:12" ht="34.200000000000003" customHeight="1" thickBot="1" x14ac:dyDescent="0.35">
      <c r="A559" s="1">
        <v>1100901</v>
      </c>
      <c r="B559" s="2" t="s">
        <v>552</v>
      </c>
      <c r="C559" s="2">
        <v>1</v>
      </c>
      <c r="D559" s="2">
        <v>11612</v>
      </c>
      <c r="E559" s="9">
        <v>761</v>
      </c>
      <c r="F559" s="9">
        <v>14350</v>
      </c>
      <c r="G559" s="3">
        <v>12.5</v>
      </c>
      <c r="H559" s="3">
        <v>19.100000000000001</v>
      </c>
      <c r="I559" s="3">
        <v>2</v>
      </c>
      <c r="J559" s="5">
        <f t="shared" si="8"/>
        <v>736.90351013479926</v>
      </c>
      <c r="K559" s="2">
        <v>36.712378999999999</v>
      </c>
      <c r="L559">
        <v>-5.4525350000000001</v>
      </c>
    </row>
    <row r="560" spans="1:12" ht="34.200000000000003" customHeight="1" thickBot="1" x14ac:dyDescent="0.35">
      <c r="A560" s="1">
        <v>1101001</v>
      </c>
      <c r="B560" s="2" t="s">
        <v>553</v>
      </c>
      <c r="C560" s="2">
        <v>1</v>
      </c>
      <c r="D560" s="2">
        <v>11640</v>
      </c>
      <c r="E560" s="9">
        <v>2784</v>
      </c>
      <c r="F560" s="9">
        <v>13650</v>
      </c>
      <c r="G560" s="3">
        <v>14.9</v>
      </c>
      <c r="H560" s="3">
        <v>19.5</v>
      </c>
      <c r="I560" s="3">
        <v>2.4</v>
      </c>
      <c r="J560" s="5">
        <f t="shared" si="8"/>
        <v>2391.0399097665268</v>
      </c>
      <c r="K560" s="2">
        <v>36.813890999999998</v>
      </c>
      <c r="L560">
        <v>-5.7437339999999999</v>
      </c>
    </row>
    <row r="561" spans="1:12" ht="34.200000000000003" customHeight="1" thickBot="1" x14ac:dyDescent="0.35">
      <c r="A561" s="1">
        <v>1101002</v>
      </c>
      <c r="B561" s="2" t="s">
        <v>553</v>
      </c>
      <c r="C561" s="2">
        <v>2</v>
      </c>
      <c r="D561" s="2">
        <v>11640</v>
      </c>
      <c r="E561" s="9">
        <v>3843</v>
      </c>
      <c r="F561" s="9">
        <v>13650</v>
      </c>
      <c r="G561" s="3">
        <v>16.100000000000001</v>
      </c>
      <c r="H561" s="3">
        <v>18.600000000000001</v>
      </c>
      <c r="I561" s="3">
        <v>2.5</v>
      </c>
      <c r="J561" s="5">
        <f t="shared" si="8"/>
        <v>3305.0637147224957</v>
      </c>
      <c r="K561" s="2">
        <v>36.812865000000002</v>
      </c>
      <c r="L561">
        <v>-5.7476269999999996</v>
      </c>
    </row>
    <row r="562" spans="1:12" ht="34.200000000000003" customHeight="1" thickBot="1" x14ac:dyDescent="0.35">
      <c r="A562" s="1">
        <v>1101003</v>
      </c>
      <c r="B562" s="2" t="s">
        <v>553</v>
      </c>
      <c r="C562" s="2">
        <v>3</v>
      </c>
      <c r="D562" s="2">
        <v>11640</v>
      </c>
      <c r="E562" s="9">
        <v>894</v>
      </c>
      <c r="F562" s="9">
        <v>13650</v>
      </c>
      <c r="G562" s="3">
        <v>14.2</v>
      </c>
      <c r="H562" s="3">
        <v>20.3</v>
      </c>
      <c r="I562" s="3">
        <v>2.4</v>
      </c>
      <c r="J562" s="5">
        <f t="shared" si="8"/>
        <v>755.73986304341167</v>
      </c>
      <c r="K562" s="2">
        <v>36.856437</v>
      </c>
      <c r="L562">
        <v>-5.694871</v>
      </c>
    </row>
    <row r="563" spans="1:12" ht="34.200000000000003" customHeight="1" thickBot="1" x14ac:dyDescent="0.35">
      <c r="A563" s="1">
        <v>1101101</v>
      </c>
      <c r="B563" s="2" t="s">
        <v>645</v>
      </c>
      <c r="C563" s="2">
        <v>1</v>
      </c>
      <c r="D563" s="2">
        <v>11670</v>
      </c>
      <c r="E563" s="9">
        <v>2249</v>
      </c>
      <c r="F563" s="9">
        <v>16450</v>
      </c>
      <c r="G563" s="3">
        <v>16.899999999999999</v>
      </c>
      <c r="H563" s="3">
        <v>17.8</v>
      </c>
      <c r="I563" s="3">
        <v>2.4</v>
      </c>
      <c r="J563" s="5">
        <f t="shared" si="8"/>
        <v>2418.0516895932769</v>
      </c>
      <c r="K563" s="2">
        <v>36.753700000000002</v>
      </c>
      <c r="L563">
        <v>-5.5107689999999998</v>
      </c>
    </row>
    <row r="564" spans="1:12" ht="34.200000000000003" customHeight="1" thickBot="1" x14ac:dyDescent="0.35">
      <c r="A564" s="1">
        <v>1101201</v>
      </c>
      <c r="B564" s="2" t="s">
        <v>555</v>
      </c>
      <c r="C564" s="2">
        <v>1</v>
      </c>
      <c r="D564" s="2">
        <v>11001</v>
      </c>
      <c r="E564" s="9">
        <v>5631</v>
      </c>
      <c r="F564" s="9">
        <v>19250</v>
      </c>
      <c r="G564" s="3">
        <v>11.8</v>
      </c>
      <c r="H564" s="3">
        <v>22.6</v>
      </c>
      <c r="I564" s="3">
        <v>2.2000000000000002</v>
      </c>
      <c r="J564" s="5">
        <f t="shared" si="8"/>
        <v>6660.5786990699762</v>
      </c>
      <c r="K564" s="2">
        <v>36.535981</v>
      </c>
      <c r="L564">
        <v>-6.3005760000000004</v>
      </c>
    </row>
    <row r="565" spans="1:12" ht="34.200000000000003" customHeight="1" thickBot="1" x14ac:dyDescent="0.35">
      <c r="A565" s="1">
        <v>1101202</v>
      </c>
      <c r="B565" s="2" t="s">
        <v>555</v>
      </c>
      <c r="C565" s="2">
        <v>2</v>
      </c>
      <c r="D565" s="2">
        <v>11001</v>
      </c>
      <c r="E565" s="9">
        <v>5390</v>
      </c>
      <c r="F565" s="9">
        <v>19250</v>
      </c>
      <c r="G565" s="3">
        <v>12.8</v>
      </c>
      <c r="H565" s="3">
        <v>22.2</v>
      </c>
      <c r="I565" s="3">
        <v>2.2000000000000002</v>
      </c>
      <c r="J565" s="5">
        <f t="shared" si="8"/>
        <v>6475.5780947390795</v>
      </c>
      <c r="K565" s="2">
        <v>36.533532000000001</v>
      </c>
      <c r="L565">
        <v>-6.2989980000000001</v>
      </c>
    </row>
    <row r="566" spans="1:12" ht="34.200000000000003" customHeight="1" thickBot="1" x14ac:dyDescent="0.35">
      <c r="A566" s="1">
        <v>1101203</v>
      </c>
      <c r="B566" s="2" t="s">
        <v>555</v>
      </c>
      <c r="C566" s="2">
        <v>3</v>
      </c>
      <c r="D566" s="2">
        <v>11001</v>
      </c>
      <c r="E566" s="9">
        <v>6181</v>
      </c>
      <c r="F566" s="9">
        <v>17850</v>
      </c>
      <c r="G566" s="3">
        <v>12.9</v>
      </c>
      <c r="H566" s="3">
        <v>25.5</v>
      </c>
      <c r="I566" s="3">
        <v>2.2999999999999998</v>
      </c>
      <c r="J566" s="5">
        <f t="shared" si="8"/>
        <v>6496.6080758650714</v>
      </c>
      <c r="K566" s="2">
        <v>36.534148000000002</v>
      </c>
      <c r="L566">
        <v>-6.3006669999999998</v>
      </c>
    </row>
    <row r="567" spans="1:12" ht="34.200000000000003" customHeight="1" thickBot="1" x14ac:dyDescent="0.35">
      <c r="A567" s="1">
        <v>1101204</v>
      </c>
      <c r="B567" s="2" t="s">
        <v>555</v>
      </c>
      <c r="C567" s="2">
        <v>4</v>
      </c>
      <c r="D567" s="2">
        <v>11001</v>
      </c>
      <c r="E567" s="9">
        <v>3834</v>
      </c>
      <c r="F567" s="9">
        <v>16450</v>
      </c>
      <c r="G567" s="3">
        <v>12.4</v>
      </c>
      <c r="H567" s="3">
        <v>25.4</v>
      </c>
      <c r="I567" s="3">
        <v>2.2999999999999998</v>
      </c>
      <c r="J567" s="5">
        <f t="shared" si="8"/>
        <v>3696.7112947494702</v>
      </c>
      <c r="K567" s="2">
        <v>36.530318000000001</v>
      </c>
      <c r="L567">
        <v>-6.3023910000000001</v>
      </c>
    </row>
    <row r="568" spans="1:12" ht="34.200000000000003" customHeight="1" thickBot="1" x14ac:dyDescent="0.35">
      <c r="A568" s="1">
        <v>1101205</v>
      </c>
      <c r="B568" s="2" t="s">
        <v>555</v>
      </c>
      <c r="C568" s="2">
        <v>5</v>
      </c>
      <c r="D568" s="2">
        <v>11002</v>
      </c>
      <c r="E568" s="9">
        <v>4500</v>
      </c>
      <c r="F568" s="9">
        <v>15750</v>
      </c>
      <c r="G568" s="3">
        <v>13.5</v>
      </c>
      <c r="H568" s="3">
        <v>21.8</v>
      </c>
      <c r="I568" s="3">
        <v>2.2999999999999998</v>
      </c>
      <c r="J568" s="5">
        <f t="shared" si="8"/>
        <v>4378.6545023989947</v>
      </c>
      <c r="K568" s="2">
        <v>36.531317000000001</v>
      </c>
      <c r="L568">
        <v>-6.2988479999999996</v>
      </c>
    </row>
    <row r="569" spans="1:12" ht="34.200000000000003" customHeight="1" thickBot="1" x14ac:dyDescent="0.35">
      <c r="A569" s="1">
        <v>1101206</v>
      </c>
      <c r="B569" s="2" t="s">
        <v>555</v>
      </c>
      <c r="C569" s="2">
        <v>6</v>
      </c>
      <c r="D569" s="2">
        <v>11002</v>
      </c>
      <c r="E569" s="9">
        <v>4030</v>
      </c>
      <c r="F569" s="9">
        <v>15750</v>
      </c>
      <c r="G569" s="3">
        <v>13.7</v>
      </c>
      <c r="H569" s="3">
        <v>19.7</v>
      </c>
      <c r="I569" s="3">
        <v>2.2000000000000002</v>
      </c>
      <c r="J569" s="5">
        <f t="shared" si="8"/>
        <v>4110.0235130876363</v>
      </c>
      <c r="K569" s="2">
        <v>36.530532999999998</v>
      </c>
      <c r="L569">
        <v>-6.2956580000000004</v>
      </c>
    </row>
    <row r="570" spans="1:12" ht="34.200000000000003" customHeight="1" thickBot="1" x14ac:dyDescent="0.35">
      <c r="A570" s="1">
        <v>1101207</v>
      </c>
      <c r="B570" s="2" t="s">
        <v>555</v>
      </c>
      <c r="C570" s="2">
        <v>7</v>
      </c>
      <c r="D570" s="2">
        <v>11002</v>
      </c>
      <c r="E570" s="9">
        <v>3494</v>
      </c>
      <c r="F570" s="9">
        <v>13650</v>
      </c>
      <c r="G570" s="3">
        <v>13.9</v>
      </c>
      <c r="H570" s="3">
        <v>21</v>
      </c>
      <c r="I570" s="3">
        <v>2.2000000000000002</v>
      </c>
      <c r="J570" s="5">
        <f t="shared" si="8"/>
        <v>3052.1235831028371</v>
      </c>
      <c r="K570" s="2">
        <v>36.530016000000003</v>
      </c>
      <c r="L570">
        <v>-6.2870369999999998</v>
      </c>
    </row>
    <row r="571" spans="1:12" ht="34.200000000000003" customHeight="1" thickBot="1" x14ac:dyDescent="0.35">
      <c r="A571" s="1">
        <v>1101208</v>
      </c>
      <c r="B571" s="2" t="s">
        <v>555</v>
      </c>
      <c r="C571" s="2">
        <v>8</v>
      </c>
      <c r="D571" s="2">
        <v>11003</v>
      </c>
      <c r="E571" s="9">
        <v>26141</v>
      </c>
      <c r="F571" s="9">
        <v>21350</v>
      </c>
      <c r="G571" s="3">
        <v>13.9</v>
      </c>
      <c r="H571" s="3">
        <v>26.4</v>
      </c>
      <c r="I571" s="3">
        <v>2.5</v>
      </c>
      <c r="J571" s="5">
        <f t="shared" si="8"/>
        <v>31557.334562992462</v>
      </c>
      <c r="K571" s="2">
        <v>36.523164999999999</v>
      </c>
      <c r="L571">
        <v>-6.2878210000000001</v>
      </c>
    </row>
    <row r="572" spans="1:12" ht="34.200000000000003" customHeight="1" thickBot="1" x14ac:dyDescent="0.35">
      <c r="A572" s="1">
        <v>1101209</v>
      </c>
      <c r="B572" s="2" t="s">
        <v>555</v>
      </c>
      <c r="C572" s="2">
        <v>9</v>
      </c>
      <c r="D572" s="2">
        <v>11003</v>
      </c>
      <c r="E572" s="9">
        <v>23519</v>
      </c>
      <c r="F572" s="9">
        <v>19950</v>
      </c>
      <c r="G572" s="3">
        <v>13.2</v>
      </c>
      <c r="H572" s="3">
        <v>29</v>
      </c>
      <c r="I572" s="3">
        <v>2.5</v>
      </c>
      <c r="J572" s="5">
        <f t="shared" si="8"/>
        <v>25529.718626051232</v>
      </c>
      <c r="K572" s="2">
        <v>36.513362999999998</v>
      </c>
      <c r="L572">
        <v>-6.2831780000000004</v>
      </c>
    </row>
    <row r="573" spans="1:12" ht="34.200000000000003" customHeight="1" thickBot="1" x14ac:dyDescent="0.35">
      <c r="A573" s="1">
        <v>1101210</v>
      </c>
      <c r="B573" s="2" t="s">
        <v>555</v>
      </c>
      <c r="C573" s="2">
        <v>10</v>
      </c>
      <c r="D573" s="2">
        <v>11003</v>
      </c>
      <c r="E573" s="9">
        <v>27683</v>
      </c>
      <c r="F573" s="9">
        <v>20650</v>
      </c>
      <c r="G573" s="3">
        <v>13.1</v>
      </c>
      <c r="H573" s="3">
        <v>27.7</v>
      </c>
      <c r="I573" s="3">
        <v>2.4</v>
      </c>
      <c r="J573" s="5">
        <f t="shared" si="8"/>
        <v>32197.907437438407</v>
      </c>
      <c r="K573" s="2">
        <v>36.505968000000003</v>
      </c>
      <c r="L573">
        <v>-6.2783259999999999</v>
      </c>
    </row>
    <row r="574" spans="1:12" ht="34.200000000000003" customHeight="1" thickBot="1" x14ac:dyDescent="0.35">
      <c r="A574" s="1">
        <v>1101301</v>
      </c>
      <c r="B574" s="2" t="s">
        <v>556</v>
      </c>
      <c r="C574" s="2">
        <v>1</v>
      </c>
      <c r="D574" s="2">
        <v>11350</v>
      </c>
      <c r="E574" s="9">
        <v>2990</v>
      </c>
      <c r="F574" s="9">
        <v>16450</v>
      </c>
      <c r="G574" s="3">
        <v>18.100000000000001</v>
      </c>
      <c r="H574" s="3">
        <v>15.8</v>
      </c>
      <c r="I574" s="3">
        <v>2.7</v>
      </c>
      <c r="J574" s="5">
        <f t="shared" si="8"/>
        <v>3128.7656232085324</v>
      </c>
      <c r="K574" s="2">
        <v>36.311818000000002</v>
      </c>
      <c r="L574">
        <v>-5.4649960000000002</v>
      </c>
    </row>
    <row r="575" spans="1:12" ht="34.200000000000003" customHeight="1" thickBot="1" x14ac:dyDescent="0.35">
      <c r="A575" s="1">
        <v>1101501</v>
      </c>
      <c r="B575" s="2" t="s">
        <v>558</v>
      </c>
      <c r="C575" s="2">
        <v>1</v>
      </c>
      <c r="D575" s="2">
        <v>11130</v>
      </c>
      <c r="E575" s="9">
        <v>16119</v>
      </c>
      <c r="F575" s="9">
        <v>16450</v>
      </c>
      <c r="G575" s="3">
        <v>18.5</v>
      </c>
      <c r="H575" s="3">
        <v>14.9</v>
      </c>
      <c r="I575" s="3">
        <v>2.7</v>
      </c>
      <c r="J575" s="5">
        <f t="shared" si="8"/>
        <v>17081.42348440591</v>
      </c>
      <c r="K575" s="2">
        <v>36.421380999999997</v>
      </c>
      <c r="L575">
        <v>-6.1504589999999997</v>
      </c>
    </row>
    <row r="576" spans="1:12" ht="34.200000000000003" customHeight="1" thickBot="1" x14ac:dyDescent="0.35">
      <c r="A576" s="1">
        <v>1101502</v>
      </c>
      <c r="B576" s="2" t="s">
        <v>558</v>
      </c>
      <c r="C576" s="2">
        <v>2</v>
      </c>
      <c r="D576" s="2">
        <v>11130</v>
      </c>
      <c r="E576" s="9">
        <v>8888</v>
      </c>
      <c r="F576" s="9">
        <v>16450</v>
      </c>
      <c r="G576" s="3">
        <v>18</v>
      </c>
      <c r="H576" s="3">
        <v>19.100000000000001</v>
      </c>
      <c r="I576" s="3">
        <v>2.7</v>
      </c>
      <c r="J576" s="5">
        <f t="shared" si="8"/>
        <v>8991.3840209063055</v>
      </c>
      <c r="K576" s="2">
        <v>36.415405999999997</v>
      </c>
      <c r="L576">
        <v>-6.1497229999999998</v>
      </c>
    </row>
    <row r="577" spans="1:12" ht="34.200000000000003" customHeight="1" thickBot="1" x14ac:dyDescent="0.35">
      <c r="A577" s="1">
        <v>1101503</v>
      </c>
      <c r="B577" s="2" t="s">
        <v>558</v>
      </c>
      <c r="C577" s="2">
        <v>3</v>
      </c>
      <c r="D577" s="2">
        <v>11130</v>
      </c>
      <c r="E577" s="9">
        <v>9870</v>
      </c>
      <c r="F577" s="9">
        <v>14350</v>
      </c>
      <c r="G577" s="3">
        <v>18.899999999999999</v>
      </c>
      <c r="H577" s="3">
        <v>16.5</v>
      </c>
      <c r="I577" s="3">
        <v>2.6</v>
      </c>
      <c r="J577" s="5">
        <f t="shared" si="8"/>
        <v>9190.1907449756709</v>
      </c>
      <c r="K577" s="2">
        <v>36.415641999999998</v>
      </c>
      <c r="L577">
        <v>-6.1427769999999997</v>
      </c>
    </row>
    <row r="578" spans="1:12" ht="34.200000000000003" customHeight="1" thickBot="1" x14ac:dyDescent="0.35">
      <c r="A578" s="1">
        <v>1101504</v>
      </c>
      <c r="B578" s="2" t="s">
        <v>558</v>
      </c>
      <c r="C578" s="2">
        <v>4</v>
      </c>
      <c r="D578" s="2">
        <v>11130</v>
      </c>
      <c r="E578" s="9">
        <v>23557</v>
      </c>
      <c r="F578" s="9">
        <v>14350</v>
      </c>
      <c r="G578" s="3">
        <v>19.8</v>
      </c>
      <c r="H578" s="3">
        <v>15</v>
      </c>
      <c r="I578" s="3">
        <v>2.7</v>
      </c>
      <c r="J578" s="5">
        <f t="shared" si="8"/>
        <v>22028.933533758463</v>
      </c>
      <c r="K578" s="2">
        <v>36.423479999999998</v>
      </c>
      <c r="L578">
        <v>-6.1459830000000002</v>
      </c>
    </row>
    <row r="579" spans="1:12" ht="34.200000000000003" customHeight="1" thickBot="1" x14ac:dyDescent="0.35">
      <c r="A579" s="1">
        <v>1101505</v>
      </c>
      <c r="B579" s="2" t="s">
        <v>558</v>
      </c>
      <c r="C579" s="2">
        <v>5</v>
      </c>
      <c r="D579" s="2">
        <v>11130</v>
      </c>
      <c r="E579" s="9">
        <v>30760</v>
      </c>
      <c r="F579" s="9">
        <v>16450</v>
      </c>
      <c r="G579" s="3">
        <v>18.7</v>
      </c>
      <c r="H579" s="3">
        <v>15.2</v>
      </c>
      <c r="I579" s="3">
        <v>2.5</v>
      </c>
      <c r="J579" s="5">
        <f t="shared" si="8"/>
        <v>33842.681587799838</v>
      </c>
      <c r="K579" s="2">
        <v>36.352390999999997</v>
      </c>
      <c r="L579">
        <v>-6.1613990000000003</v>
      </c>
    </row>
    <row r="580" spans="1:12" ht="34.200000000000003" customHeight="1" thickBot="1" x14ac:dyDescent="0.35">
      <c r="A580" s="1">
        <v>1101601</v>
      </c>
      <c r="B580" s="2" t="s">
        <v>559</v>
      </c>
      <c r="C580" s="2">
        <v>1</v>
      </c>
      <c r="D580" s="2">
        <v>11550</v>
      </c>
      <c r="E580" s="9">
        <v>1836</v>
      </c>
      <c r="F580" s="9">
        <v>13650</v>
      </c>
      <c r="G580" s="3">
        <v>15.3</v>
      </c>
      <c r="H580" s="3">
        <v>20.399999999999999</v>
      </c>
      <c r="I580" s="3">
        <v>2.2000000000000002</v>
      </c>
      <c r="J580" s="5">
        <f t="shared" si="8"/>
        <v>1638.3337928065491</v>
      </c>
      <c r="K580" s="2">
        <v>36.742513000000002</v>
      </c>
      <c r="L580">
        <v>-6.4326040000000004</v>
      </c>
    </row>
    <row r="581" spans="1:12" ht="34.200000000000003" customHeight="1" thickBot="1" x14ac:dyDescent="0.35">
      <c r="A581" s="1">
        <v>1101602</v>
      </c>
      <c r="B581" s="2" t="s">
        <v>559</v>
      </c>
      <c r="C581" s="2">
        <v>2</v>
      </c>
      <c r="D581" s="2">
        <v>11550</v>
      </c>
      <c r="E581" s="9">
        <v>8964</v>
      </c>
      <c r="F581" s="9">
        <v>12950</v>
      </c>
      <c r="G581" s="3">
        <v>16.100000000000001</v>
      </c>
      <c r="H581" s="3">
        <v>21.7</v>
      </c>
      <c r="I581" s="3">
        <v>2.5</v>
      </c>
      <c r="J581" s="5">
        <f t="shared" si="8"/>
        <v>7081.3456798338348</v>
      </c>
      <c r="K581" s="2">
        <v>36.739389000000003</v>
      </c>
      <c r="L581">
        <v>-6.4325570000000001</v>
      </c>
    </row>
    <row r="582" spans="1:12" ht="34.200000000000003" customHeight="1" thickBot="1" x14ac:dyDescent="0.35">
      <c r="A582" s="1">
        <v>1101603</v>
      </c>
      <c r="B582" s="2" t="s">
        <v>559</v>
      </c>
      <c r="C582" s="2">
        <v>3</v>
      </c>
      <c r="D582" s="2">
        <v>11550</v>
      </c>
      <c r="E582" s="9">
        <v>9079</v>
      </c>
      <c r="F582" s="9">
        <v>12250</v>
      </c>
      <c r="G582" s="3">
        <v>20.3</v>
      </c>
      <c r="H582" s="3">
        <v>13.1</v>
      </c>
      <c r="I582" s="3">
        <v>2.8</v>
      </c>
      <c r="J582" s="5">
        <f t="shared" si="8"/>
        <v>7280.0114684657228</v>
      </c>
      <c r="K582" s="2">
        <v>36.727924000000002</v>
      </c>
      <c r="L582">
        <v>-6.3985440000000002</v>
      </c>
    </row>
    <row r="583" spans="1:12" ht="34.200000000000003" customHeight="1" thickBot="1" x14ac:dyDescent="0.35">
      <c r="A583" s="1">
        <v>1101401</v>
      </c>
      <c r="B583" s="2" t="s">
        <v>557</v>
      </c>
      <c r="C583" s="2">
        <v>1</v>
      </c>
      <c r="D583" s="2">
        <v>11140</v>
      </c>
      <c r="E583" s="9">
        <v>9562</v>
      </c>
      <c r="F583" s="9">
        <v>15750</v>
      </c>
      <c r="G583" s="3">
        <v>19.100000000000001</v>
      </c>
      <c r="H583" s="3">
        <v>16.7</v>
      </c>
      <c r="I583" s="3">
        <v>2.2999999999999998</v>
      </c>
      <c r="J583" s="5">
        <f t="shared" si="8"/>
        <v>10389.808073763657</v>
      </c>
      <c r="K583" s="2">
        <v>36.274977</v>
      </c>
      <c r="L583">
        <v>-6.0919059999999998</v>
      </c>
    </row>
    <row r="584" spans="1:12" ht="34.200000000000003" customHeight="1" thickBot="1" x14ac:dyDescent="0.35">
      <c r="A584" s="1">
        <v>1101402</v>
      </c>
      <c r="B584" s="2" t="s">
        <v>557</v>
      </c>
      <c r="C584" s="2">
        <v>2</v>
      </c>
      <c r="D584" s="2">
        <v>11140</v>
      </c>
      <c r="E584" s="9">
        <v>8267</v>
      </c>
      <c r="F584" s="9">
        <v>14350</v>
      </c>
      <c r="G584" s="3">
        <v>18.899999999999999</v>
      </c>
      <c r="H584" s="3">
        <v>17.3</v>
      </c>
      <c r="I584" s="3">
        <v>2.6</v>
      </c>
      <c r="J584" s="5">
        <f t="shared" ref="J584:J646" si="9">E584*(F584/$H$1)*(1+(G584/100)-(H584/100))*($H$2/I584)^0.5</f>
        <v>7637.4619861849851</v>
      </c>
      <c r="K584" s="2">
        <v>36.280420999999997</v>
      </c>
      <c r="L584">
        <v>-6.0880919999999996</v>
      </c>
    </row>
    <row r="585" spans="1:12" ht="34.200000000000003" customHeight="1" thickBot="1" x14ac:dyDescent="0.35">
      <c r="A585" s="1">
        <v>1101403</v>
      </c>
      <c r="B585" s="2" t="s">
        <v>557</v>
      </c>
      <c r="C585" s="2">
        <v>3</v>
      </c>
      <c r="D585" s="2">
        <v>11140</v>
      </c>
      <c r="E585" s="9">
        <v>6098</v>
      </c>
      <c r="F585" s="9">
        <v>15050</v>
      </c>
      <c r="G585" s="3">
        <v>18.5</v>
      </c>
      <c r="H585" s="3">
        <v>17</v>
      </c>
      <c r="I585" s="3">
        <v>2.6</v>
      </c>
      <c r="J585" s="5">
        <f t="shared" si="9"/>
        <v>5902.6288640259172</v>
      </c>
      <c r="K585" s="2">
        <v>36.272095999999998</v>
      </c>
      <c r="L585">
        <v>-6.0886659999999999</v>
      </c>
    </row>
    <row r="586" spans="1:12" ht="34.200000000000003" customHeight="1" thickBot="1" x14ac:dyDescent="0.35">
      <c r="A586" s="1">
        <v>1101701</v>
      </c>
      <c r="B586" s="2" t="s">
        <v>560</v>
      </c>
      <c r="C586" s="2">
        <v>1</v>
      </c>
      <c r="D586" s="2">
        <v>11648</v>
      </c>
      <c r="E586" s="9">
        <v>3752</v>
      </c>
      <c r="F586" s="9">
        <v>15050</v>
      </c>
      <c r="G586" s="3">
        <v>15.9</v>
      </c>
      <c r="H586" s="3">
        <v>19.8</v>
      </c>
      <c r="I586" s="3">
        <v>2.4</v>
      </c>
      <c r="J586" s="5">
        <f t="shared" si="9"/>
        <v>3578.9801150376306</v>
      </c>
      <c r="K586" s="2">
        <v>36.874268999999998</v>
      </c>
      <c r="L586">
        <v>-5.8066490000000002</v>
      </c>
    </row>
    <row r="587" spans="1:12" ht="34.200000000000003" customHeight="1" thickBot="1" x14ac:dyDescent="0.35">
      <c r="A587" s="1">
        <v>1101801</v>
      </c>
      <c r="B587" s="2" t="s">
        <v>646</v>
      </c>
      <c r="C587" s="2">
        <v>1</v>
      </c>
      <c r="D587" s="2">
        <v>11687</v>
      </c>
      <c r="E587" s="9">
        <v>1706</v>
      </c>
      <c r="F587" s="9">
        <v>15050</v>
      </c>
      <c r="G587" s="3">
        <v>13.5</v>
      </c>
      <c r="H587" s="3">
        <v>22.9</v>
      </c>
      <c r="I587" s="3">
        <v>2.2000000000000002</v>
      </c>
      <c r="J587" s="5">
        <f t="shared" si="9"/>
        <v>1602.4134183635329</v>
      </c>
      <c r="K587" s="2">
        <v>36.846362999999997</v>
      </c>
      <c r="L587">
        <v>-5.3451409999999999</v>
      </c>
    </row>
    <row r="588" spans="1:12" ht="34.200000000000003" customHeight="1" thickBot="1" x14ac:dyDescent="0.35">
      <c r="A588" s="1">
        <v>1101901</v>
      </c>
      <c r="B588" s="2" t="s">
        <v>562</v>
      </c>
      <c r="C588" s="2">
        <v>1</v>
      </c>
      <c r="D588" s="2">
        <v>11610</v>
      </c>
      <c r="E588" s="9">
        <v>2007</v>
      </c>
      <c r="F588" s="9">
        <v>15050</v>
      </c>
      <c r="G588" s="3">
        <v>12.8</v>
      </c>
      <c r="H588" s="3">
        <v>22.1</v>
      </c>
      <c r="I588" s="3">
        <v>2.2999999999999998</v>
      </c>
      <c r="J588" s="5">
        <f t="shared" si="9"/>
        <v>1845.7353518632303</v>
      </c>
      <c r="K588" s="2">
        <v>36.760108000000002</v>
      </c>
      <c r="L588">
        <v>-5.3712340000000003</v>
      </c>
    </row>
    <row r="589" spans="1:12" ht="34.200000000000003" customHeight="1" thickBot="1" x14ac:dyDescent="0.35">
      <c r="A589" s="1">
        <v>1102001</v>
      </c>
      <c r="B589" s="2" t="s">
        <v>563</v>
      </c>
      <c r="C589" s="2">
        <v>1</v>
      </c>
      <c r="D589" s="2">
        <v>11401</v>
      </c>
      <c r="E589" s="9">
        <v>4688</v>
      </c>
      <c r="F589" s="9">
        <v>15750</v>
      </c>
      <c r="G589" s="3">
        <v>12.7</v>
      </c>
      <c r="H589" s="3">
        <v>20.8</v>
      </c>
      <c r="I589" s="3">
        <v>2.2999999999999998</v>
      </c>
      <c r="J589" s="5">
        <f t="shared" si="9"/>
        <v>4571.5338883701743</v>
      </c>
      <c r="K589" s="2">
        <v>36.685319</v>
      </c>
      <c r="L589">
        <v>-6.1448029999999996</v>
      </c>
    </row>
    <row r="590" spans="1:12" ht="34.200000000000003" customHeight="1" thickBot="1" x14ac:dyDescent="0.35">
      <c r="A590" s="1">
        <v>1102002</v>
      </c>
      <c r="B590" s="2" t="s">
        <v>563</v>
      </c>
      <c r="C590" s="2">
        <v>2</v>
      </c>
      <c r="D590" s="2">
        <v>11401</v>
      </c>
      <c r="E590" s="9">
        <v>28833</v>
      </c>
      <c r="F590" s="9">
        <v>16450</v>
      </c>
      <c r="G590" s="3">
        <v>14.8</v>
      </c>
      <c r="H590" s="3">
        <v>23.1</v>
      </c>
      <c r="I590" s="3">
        <v>2.4</v>
      </c>
      <c r="J590" s="5">
        <f t="shared" si="9"/>
        <v>28685.448073865944</v>
      </c>
      <c r="K590" s="2">
        <v>36.690260000000002</v>
      </c>
      <c r="L590">
        <v>-6.1375200000000003</v>
      </c>
    </row>
    <row r="591" spans="1:12" ht="34.200000000000003" customHeight="1" thickBot="1" x14ac:dyDescent="0.35">
      <c r="A591" s="1">
        <v>1102003</v>
      </c>
      <c r="B591" s="2" t="s">
        <v>563</v>
      </c>
      <c r="C591" s="2">
        <v>3</v>
      </c>
      <c r="D591" s="2">
        <v>11402</v>
      </c>
      <c r="E591" s="9">
        <v>21564</v>
      </c>
      <c r="F591" s="9">
        <v>12950</v>
      </c>
      <c r="G591" s="3">
        <v>15.9</v>
      </c>
      <c r="H591" s="3">
        <v>20.7</v>
      </c>
      <c r="I591" s="3">
        <v>2.4</v>
      </c>
      <c r="J591" s="5">
        <f t="shared" si="9"/>
        <v>17533.661102765705</v>
      </c>
      <c r="K591" s="2">
        <v>36.681818</v>
      </c>
      <c r="L591">
        <v>-6.1537660000000001</v>
      </c>
    </row>
    <row r="592" spans="1:12" ht="34.200000000000003" customHeight="1" thickBot="1" x14ac:dyDescent="0.35">
      <c r="A592" s="1">
        <v>1102004</v>
      </c>
      <c r="B592" s="2" t="s">
        <v>563</v>
      </c>
      <c r="C592" s="2">
        <v>4</v>
      </c>
      <c r="D592" s="2">
        <v>11402</v>
      </c>
      <c r="E592" s="9">
        <v>22968</v>
      </c>
      <c r="F592" s="9">
        <v>24150</v>
      </c>
      <c r="G592" s="3">
        <v>19.399999999999999</v>
      </c>
      <c r="H592" s="3">
        <v>18.100000000000001</v>
      </c>
      <c r="I592" s="3">
        <v>2.8</v>
      </c>
      <c r="J592" s="5">
        <f t="shared" si="9"/>
        <v>34309.384992950574</v>
      </c>
      <c r="K592" s="2">
        <v>36.693125000000002</v>
      </c>
      <c r="L592">
        <v>-6.1271620000000002</v>
      </c>
    </row>
    <row r="593" spans="1:12" ht="34.200000000000003" customHeight="1" thickBot="1" x14ac:dyDescent="0.35">
      <c r="A593" s="1">
        <v>1102005</v>
      </c>
      <c r="B593" s="2" t="s">
        <v>563</v>
      </c>
      <c r="C593" s="2">
        <v>5</v>
      </c>
      <c r="D593" s="2">
        <v>11402</v>
      </c>
      <c r="E593" s="9">
        <v>13260</v>
      </c>
      <c r="F593" s="9">
        <v>16450</v>
      </c>
      <c r="G593" s="3">
        <v>16.899999999999999</v>
      </c>
      <c r="H593" s="3">
        <v>24.3</v>
      </c>
      <c r="I593" s="3">
        <v>2.5</v>
      </c>
      <c r="J593" s="5">
        <f t="shared" si="9"/>
        <v>13052.466814076035</v>
      </c>
      <c r="K593" s="2">
        <v>36.703006000000002</v>
      </c>
      <c r="L593">
        <v>-6.1440409999999996</v>
      </c>
    </row>
    <row r="594" spans="1:12" ht="34.200000000000003" customHeight="1" thickBot="1" x14ac:dyDescent="0.35">
      <c r="A594" s="1">
        <v>1102006</v>
      </c>
      <c r="B594" s="2" t="s">
        <v>563</v>
      </c>
      <c r="C594" s="2">
        <v>6</v>
      </c>
      <c r="D594" s="2">
        <v>11402</v>
      </c>
      <c r="E594" s="9">
        <v>69049</v>
      </c>
      <c r="F594" s="9">
        <v>16450</v>
      </c>
      <c r="G594" s="3">
        <v>18.899999999999999</v>
      </c>
      <c r="H594" s="3">
        <v>16.5</v>
      </c>
      <c r="I594" s="3">
        <v>2.7</v>
      </c>
      <c r="J594" s="5">
        <f t="shared" si="9"/>
        <v>72324.186786627353</v>
      </c>
      <c r="K594" s="2">
        <v>36.687486999999997</v>
      </c>
      <c r="L594">
        <v>-6.1249890000000002</v>
      </c>
    </row>
    <row r="595" spans="1:12" ht="34.200000000000003" customHeight="1" thickBot="1" x14ac:dyDescent="0.35">
      <c r="A595" s="1">
        <v>1102007</v>
      </c>
      <c r="B595" s="2" t="s">
        <v>563</v>
      </c>
      <c r="C595" s="2">
        <v>7</v>
      </c>
      <c r="D595" s="2">
        <v>11403</v>
      </c>
      <c r="E595" s="9">
        <v>28701</v>
      </c>
      <c r="F595" s="9">
        <v>12950</v>
      </c>
      <c r="G595" s="3">
        <v>21.3</v>
      </c>
      <c r="H595" s="3">
        <v>13</v>
      </c>
      <c r="I595" s="3">
        <v>2.7</v>
      </c>
      <c r="J595" s="5">
        <f t="shared" si="9"/>
        <v>25029.695178691243</v>
      </c>
      <c r="K595" s="2">
        <v>36.673955999999997</v>
      </c>
      <c r="L595">
        <v>-6.1426730000000003</v>
      </c>
    </row>
    <row r="596" spans="1:12" ht="34.200000000000003" customHeight="1" thickBot="1" x14ac:dyDescent="0.35">
      <c r="A596" s="1">
        <v>1102008</v>
      </c>
      <c r="B596" s="2" t="s">
        <v>563</v>
      </c>
      <c r="C596" s="2">
        <v>8</v>
      </c>
      <c r="D596" s="2">
        <v>11403</v>
      </c>
      <c r="E596" s="9">
        <v>3261</v>
      </c>
      <c r="F596" s="9">
        <v>17150</v>
      </c>
      <c r="G596" s="3">
        <v>13.2</v>
      </c>
      <c r="H596" s="3">
        <v>19.5</v>
      </c>
      <c r="I596" s="3">
        <v>2.8</v>
      </c>
      <c r="J596" s="5">
        <f t="shared" si="9"/>
        <v>3199.7620804829057</v>
      </c>
      <c r="K596" s="2">
        <v>36.647615999999999</v>
      </c>
      <c r="L596">
        <v>-6.1339290000000002</v>
      </c>
    </row>
    <row r="597" spans="1:12" ht="34.200000000000003" customHeight="1" thickBot="1" x14ac:dyDescent="0.35">
      <c r="A597" s="1">
        <v>1102009</v>
      </c>
      <c r="B597" s="2" t="s">
        <v>563</v>
      </c>
      <c r="C597" s="2">
        <v>9</v>
      </c>
      <c r="D597" s="2">
        <v>11403</v>
      </c>
      <c r="E597" s="9">
        <v>17483</v>
      </c>
      <c r="F597" s="9">
        <v>15050</v>
      </c>
      <c r="G597" s="3">
        <v>16.5</v>
      </c>
      <c r="H597" s="3">
        <v>19.7</v>
      </c>
      <c r="I597" s="3">
        <v>2.7</v>
      </c>
      <c r="J597" s="5">
        <f t="shared" si="9"/>
        <v>15837.554475710558</v>
      </c>
      <c r="K597" s="2">
        <v>36.800339999999998</v>
      </c>
      <c r="L597">
        <v>-6.0818500000000002</v>
      </c>
    </row>
    <row r="598" spans="1:12" ht="34.200000000000003" customHeight="1" thickBot="1" x14ac:dyDescent="0.35">
      <c r="A598" s="1">
        <v>1102010</v>
      </c>
      <c r="B598" s="2" t="s">
        <v>563</v>
      </c>
      <c r="C598" s="2">
        <v>10</v>
      </c>
      <c r="D598" s="2">
        <v>11403</v>
      </c>
      <c r="E598" s="9">
        <v>3378</v>
      </c>
      <c r="F598" s="9">
        <v>13650</v>
      </c>
      <c r="G598" s="3">
        <v>17.899999999999999</v>
      </c>
      <c r="H598" s="3">
        <v>19.100000000000001</v>
      </c>
      <c r="I598" s="3">
        <v>2.6</v>
      </c>
      <c r="J598" s="5">
        <f t="shared" si="9"/>
        <v>2886.7206318745489</v>
      </c>
      <c r="K598" s="2">
        <v>36.603397999999999</v>
      </c>
      <c r="L598">
        <v>-6.081175</v>
      </c>
    </row>
    <row r="599" spans="1:12" ht="34.200000000000003" customHeight="1" thickBot="1" x14ac:dyDescent="0.35">
      <c r="A599" s="1">
        <v>1102101</v>
      </c>
      <c r="B599" s="2" t="s">
        <v>564</v>
      </c>
      <c r="C599" s="2">
        <v>1</v>
      </c>
      <c r="D599" s="2">
        <v>11330</v>
      </c>
      <c r="E599" s="9">
        <v>2931</v>
      </c>
      <c r="F599" s="9">
        <v>14350</v>
      </c>
      <c r="G599" s="3">
        <v>16.399999999999999</v>
      </c>
      <c r="H599" s="3">
        <v>20.7</v>
      </c>
      <c r="I599" s="3">
        <v>2.4</v>
      </c>
      <c r="J599" s="5">
        <f t="shared" si="9"/>
        <v>2654.7047409709508</v>
      </c>
      <c r="K599" s="2">
        <v>36.430919000000003</v>
      </c>
      <c r="L599">
        <v>-5.4505929999999996</v>
      </c>
    </row>
    <row r="600" spans="1:12" ht="34.200000000000003" customHeight="1" thickBot="1" x14ac:dyDescent="0.35">
      <c r="A600" s="1">
        <v>1102102</v>
      </c>
      <c r="B600" s="2" t="s">
        <v>564</v>
      </c>
      <c r="C600" s="2">
        <v>2</v>
      </c>
      <c r="D600" s="2">
        <v>11330</v>
      </c>
      <c r="E600" s="9">
        <v>2189</v>
      </c>
      <c r="F600" s="9">
        <v>15750</v>
      </c>
      <c r="G600" s="3">
        <v>21.2</v>
      </c>
      <c r="H600" s="3">
        <v>17.8</v>
      </c>
      <c r="I600" s="3">
        <v>2.7</v>
      </c>
      <c r="J600" s="5">
        <f t="shared" si="9"/>
        <v>2216.701245831312</v>
      </c>
      <c r="K600" s="2">
        <v>36.396745000000003</v>
      </c>
      <c r="L600">
        <v>-5.4193939999999996</v>
      </c>
    </row>
    <row r="601" spans="1:12" ht="34.200000000000003" customHeight="1" thickBot="1" x14ac:dyDescent="0.35">
      <c r="A601" s="1">
        <v>1102103</v>
      </c>
      <c r="B601" s="2" t="s">
        <v>564</v>
      </c>
      <c r="C601" s="2">
        <v>3</v>
      </c>
      <c r="D601" s="2">
        <v>11330</v>
      </c>
      <c r="E601" s="9">
        <v>1645</v>
      </c>
      <c r="F601" s="9">
        <v>13650</v>
      </c>
      <c r="G601" s="3">
        <v>18.100000000000001</v>
      </c>
      <c r="H601" s="3">
        <v>16.899999999999999</v>
      </c>
      <c r="I601" s="3">
        <v>2.6</v>
      </c>
      <c r="J601" s="5">
        <f t="shared" si="9"/>
        <v>1439.9074580899858</v>
      </c>
      <c r="K601" s="2">
        <v>36.463182000000003</v>
      </c>
      <c r="L601">
        <v>-5.4093859999999996</v>
      </c>
    </row>
    <row r="602" spans="1:12" ht="34.200000000000003" customHeight="1" thickBot="1" x14ac:dyDescent="0.35">
      <c r="A602" s="1">
        <v>1102201</v>
      </c>
      <c r="B602" s="2" t="s">
        <v>647</v>
      </c>
      <c r="C602" s="2">
        <v>1</v>
      </c>
      <c r="D602" s="2">
        <v>11300</v>
      </c>
      <c r="E602" s="9">
        <v>8266</v>
      </c>
      <c r="F602" s="9">
        <v>17150</v>
      </c>
      <c r="G602" s="3">
        <v>15.1</v>
      </c>
      <c r="H602" s="3">
        <v>25.1</v>
      </c>
      <c r="I602" s="3">
        <v>2.4</v>
      </c>
      <c r="J602" s="5">
        <f t="shared" si="9"/>
        <v>8414.6993360044089</v>
      </c>
      <c r="K602" s="2">
        <v>36.163133999999999</v>
      </c>
      <c r="L602">
        <v>-5.349386</v>
      </c>
    </row>
    <row r="603" spans="1:12" ht="34.200000000000003" customHeight="1" thickBot="1" x14ac:dyDescent="0.35">
      <c r="A603" s="1">
        <v>1102202</v>
      </c>
      <c r="B603" s="2" t="s">
        <v>647</v>
      </c>
      <c r="C603" s="2">
        <v>2</v>
      </c>
      <c r="D603" s="2">
        <v>11300</v>
      </c>
      <c r="E603" s="9">
        <v>9658</v>
      </c>
      <c r="F603" s="9">
        <v>17850</v>
      </c>
      <c r="G603" s="3">
        <v>17.2</v>
      </c>
      <c r="H603" s="3">
        <v>18.3</v>
      </c>
      <c r="I603" s="3">
        <v>2.5</v>
      </c>
      <c r="J603" s="5">
        <f t="shared" si="9"/>
        <v>11017.774964470003</v>
      </c>
      <c r="K603" s="2">
        <v>36.167321999999999</v>
      </c>
      <c r="L603">
        <v>-5.3415910000000002</v>
      </c>
    </row>
    <row r="604" spans="1:12" ht="34.200000000000003" customHeight="1" thickBot="1" x14ac:dyDescent="0.35">
      <c r="A604" s="1">
        <v>1102203</v>
      </c>
      <c r="B604" s="2" t="s">
        <v>647</v>
      </c>
      <c r="C604" s="2">
        <v>3</v>
      </c>
      <c r="D604" s="2">
        <v>11300</v>
      </c>
      <c r="E604" s="9">
        <v>16740</v>
      </c>
      <c r="F604" s="9">
        <v>15750</v>
      </c>
      <c r="G604" s="3">
        <v>17.2</v>
      </c>
      <c r="H604" s="3">
        <v>18.3</v>
      </c>
      <c r="I604" s="3">
        <v>2.6</v>
      </c>
      <c r="J604" s="5">
        <f t="shared" si="9"/>
        <v>16522.958740445727</v>
      </c>
      <c r="K604" s="2">
        <v>36.165452000000002</v>
      </c>
      <c r="L604">
        <v>-5.3492499999999996</v>
      </c>
    </row>
    <row r="605" spans="1:12" ht="34.200000000000003" customHeight="1" thickBot="1" x14ac:dyDescent="0.35">
      <c r="A605" s="1">
        <v>1102204</v>
      </c>
      <c r="B605" s="2" t="s">
        <v>647</v>
      </c>
      <c r="C605" s="2">
        <v>4</v>
      </c>
      <c r="D605" s="2">
        <v>11300</v>
      </c>
      <c r="E605" s="9">
        <v>6862</v>
      </c>
      <c r="F605" s="9">
        <v>12250</v>
      </c>
      <c r="G605" s="3">
        <v>18.100000000000001</v>
      </c>
      <c r="H605" s="3">
        <v>19.2</v>
      </c>
      <c r="I605" s="3">
        <v>2.6</v>
      </c>
      <c r="J605" s="5">
        <f t="shared" si="9"/>
        <v>5267.9131829189582</v>
      </c>
      <c r="K605" s="2">
        <v>36.164622999999999</v>
      </c>
      <c r="L605">
        <v>-5.3549709999999999</v>
      </c>
    </row>
    <row r="606" spans="1:12" ht="34.200000000000003" customHeight="1" thickBot="1" x14ac:dyDescent="0.35">
      <c r="A606" s="1">
        <v>1102205</v>
      </c>
      <c r="B606" s="2" t="s">
        <v>647</v>
      </c>
      <c r="C606" s="2">
        <v>5</v>
      </c>
      <c r="D606" s="2">
        <v>11300</v>
      </c>
      <c r="E606" s="9">
        <v>7529</v>
      </c>
      <c r="F606" s="9">
        <v>10150</v>
      </c>
      <c r="G606" s="3">
        <v>21.3</v>
      </c>
      <c r="H606" s="3">
        <v>14.5</v>
      </c>
      <c r="I606" s="3">
        <v>2.7</v>
      </c>
      <c r="J606" s="5">
        <f t="shared" si="9"/>
        <v>5074.9865896776355</v>
      </c>
      <c r="K606" s="2">
        <v>36.167175999999998</v>
      </c>
      <c r="L606">
        <v>-5.3632249999999999</v>
      </c>
    </row>
    <row r="607" spans="1:12" ht="34.200000000000003" customHeight="1" thickBot="1" x14ac:dyDescent="0.35">
      <c r="A607" s="1">
        <v>1102206</v>
      </c>
      <c r="B607" s="2" t="s">
        <v>647</v>
      </c>
      <c r="C607" s="2">
        <v>6</v>
      </c>
      <c r="D607" s="2">
        <v>11300</v>
      </c>
      <c r="E607" s="9">
        <v>7024</v>
      </c>
      <c r="F607" s="9">
        <v>10850</v>
      </c>
      <c r="G607" s="3">
        <v>19.8</v>
      </c>
      <c r="H607" s="3">
        <v>17.399999999999999</v>
      </c>
      <c r="I607" s="3">
        <v>2.8</v>
      </c>
      <c r="J607" s="5">
        <f t="shared" si="9"/>
        <v>4765.1587216843773</v>
      </c>
      <c r="K607" s="2">
        <v>36.177827999999998</v>
      </c>
      <c r="L607">
        <v>-5.3373900000000001</v>
      </c>
    </row>
    <row r="608" spans="1:12" ht="34.200000000000003" customHeight="1" thickBot="1" x14ac:dyDescent="0.35">
      <c r="A608" s="1">
        <v>1102207</v>
      </c>
      <c r="B608" s="2" t="s">
        <v>647</v>
      </c>
      <c r="C608" s="2">
        <v>7</v>
      </c>
      <c r="D608" s="2">
        <v>11300</v>
      </c>
      <c r="E608" s="9">
        <v>7698</v>
      </c>
      <c r="F608" s="9">
        <v>19250</v>
      </c>
      <c r="G608" s="3">
        <v>22.2</v>
      </c>
      <c r="H608" s="3">
        <v>9.3000000000000007</v>
      </c>
      <c r="I608" s="3">
        <v>2.6</v>
      </c>
      <c r="J608" s="5">
        <f t="shared" si="9"/>
        <v>10601.274930597185</v>
      </c>
      <c r="K608" s="2">
        <v>36.189667999999998</v>
      </c>
      <c r="L608">
        <v>-5.3404639999999999</v>
      </c>
    </row>
    <row r="609" spans="1:12" ht="34.200000000000003" customHeight="1" thickBot="1" x14ac:dyDescent="0.35">
      <c r="A609" s="1">
        <v>1102301</v>
      </c>
      <c r="B609" s="2" t="s">
        <v>566</v>
      </c>
      <c r="C609" s="2">
        <v>1</v>
      </c>
      <c r="D609" s="2">
        <v>11170</v>
      </c>
      <c r="E609" s="9">
        <v>731</v>
      </c>
      <c r="F609" s="9">
        <v>15050</v>
      </c>
      <c r="G609" s="3">
        <v>10.1</v>
      </c>
      <c r="H609" s="3">
        <v>21.5</v>
      </c>
      <c r="I609" s="3">
        <v>2.6</v>
      </c>
      <c r="J609" s="5">
        <f t="shared" si="9"/>
        <v>617.65095005682383</v>
      </c>
      <c r="K609" s="2">
        <v>36.454583</v>
      </c>
      <c r="L609">
        <v>-5.9271890000000003</v>
      </c>
    </row>
    <row r="610" spans="1:12" ht="34.200000000000003" customHeight="1" thickBot="1" x14ac:dyDescent="0.35">
      <c r="A610" s="1">
        <v>1102302</v>
      </c>
      <c r="B610" s="2" t="s">
        <v>566</v>
      </c>
      <c r="C610" s="2">
        <v>2</v>
      </c>
      <c r="D610" s="2">
        <v>11170</v>
      </c>
      <c r="E610" s="9">
        <v>781</v>
      </c>
      <c r="F610" s="9">
        <v>15050</v>
      </c>
      <c r="G610" s="3">
        <v>13.3</v>
      </c>
      <c r="H610" s="3">
        <v>22.9</v>
      </c>
      <c r="I610" s="3">
        <v>2.5</v>
      </c>
      <c r="J610" s="5">
        <f t="shared" si="9"/>
        <v>686.63849708760574</v>
      </c>
      <c r="K610" s="2">
        <v>36.458798000000002</v>
      </c>
      <c r="L610">
        <v>-5.9260299999999999</v>
      </c>
    </row>
    <row r="611" spans="1:12" ht="34.200000000000003" customHeight="1" thickBot="1" x14ac:dyDescent="0.35">
      <c r="A611" s="1">
        <v>1102303</v>
      </c>
      <c r="B611" s="2" t="s">
        <v>566</v>
      </c>
      <c r="C611" s="2">
        <v>3</v>
      </c>
      <c r="D611" s="2">
        <v>11170</v>
      </c>
      <c r="E611" s="9">
        <v>636</v>
      </c>
      <c r="F611" s="9">
        <v>17850</v>
      </c>
      <c r="G611" s="3">
        <v>11.6</v>
      </c>
      <c r="H611" s="3">
        <v>25.6</v>
      </c>
      <c r="I611" s="3">
        <v>2.2999999999999998</v>
      </c>
      <c r="J611" s="5">
        <f t="shared" si="9"/>
        <v>657.76696526914066</v>
      </c>
      <c r="K611" s="2">
        <v>36.457138</v>
      </c>
      <c r="L611">
        <v>-5.9282789999999999</v>
      </c>
    </row>
    <row r="612" spans="1:12" ht="34.200000000000003" customHeight="1" thickBot="1" x14ac:dyDescent="0.35">
      <c r="A612" s="1">
        <v>1102304</v>
      </c>
      <c r="B612" s="2" t="s">
        <v>566</v>
      </c>
      <c r="C612" s="2">
        <v>4</v>
      </c>
      <c r="D612" s="2">
        <v>11170</v>
      </c>
      <c r="E612" s="9">
        <v>900</v>
      </c>
      <c r="F612" s="9">
        <v>15050</v>
      </c>
      <c r="G612" s="3">
        <v>10.199999999999999</v>
      </c>
      <c r="H612" s="3">
        <v>28.6</v>
      </c>
      <c r="I612" s="3">
        <v>2.4</v>
      </c>
      <c r="J612" s="5">
        <f t="shared" si="9"/>
        <v>728.96342109976615</v>
      </c>
      <c r="K612" s="2">
        <v>36.457945000000002</v>
      </c>
      <c r="L612">
        <v>-5.9320339999999998</v>
      </c>
    </row>
    <row r="613" spans="1:12" ht="34.200000000000003" customHeight="1" thickBot="1" x14ac:dyDescent="0.35">
      <c r="A613" s="1">
        <v>1102305</v>
      </c>
      <c r="B613" s="2" t="s">
        <v>566</v>
      </c>
      <c r="C613" s="2">
        <v>5</v>
      </c>
      <c r="D613" s="2">
        <v>11170</v>
      </c>
      <c r="E613" s="9">
        <v>6942</v>
      </c>
      <c r="F613" s="9">
        <v>14350</v>
      </c>
      <c r="G613" s="3">
        <v>20.9</v>
      </c>
      <c r="H613" s="3">
        <v>13.6</v>
      </c>
      <c r="I613" s="3">
        <v>2.7</v>
      </c>
      <c r="J613" s="5">
        <f t="shared" si="9"/>
        <v>6646.5540267653496</v>
      </c>
      <c r="K613" s="2">
        <v>36.463320000000003</v>
      </c>
      <c r="L613">
        <v>-5.9295020000000003</v>
      </c>
    </row>
    <row r="614" spans="1:12" ht="34.200000000000003" customHeight="1" thickBot="1" x14ac:dyDescent="0.35">
      <c r="A614" s="1">
        <v>1102306</v>
      </c>
      <c r="B614" s="2" t="s">
        <v>566</v>
      </c>
      <c r="C614" s="2">
        <v>6</v>
      </c>
      <c r="D614" s="2">
        <v>11170</v>
      </c>
      <c r="E614" s="9">
        <v>1669</v>
      </c>
      <c r="F614" s="9">
        <v>14350</v>
      </c>
      <c r="G614" s="3">
        <v>15.9</v>
      </c>
      <c r="H614" s="3">
        <v>16.399999999999999</v>
      </c>
      <c r="I614" s="3">
        <v>2.2999999999999998</v>
      </c>
      <c r="J614" s="5">
        <f t="shared" si="9"/>
        <v>1605.4973367257026</v>
      </c>
      <c r="K614" s="2">
        <v>36.396639999999998</v>
      </c>
      <c r="L614">
        <v>-5.867254</v>
      </c>
    </row>
    <row r="615" spans="1:12" ht="34.200000000000003" customHeight="1" thickBot="1" x14ac:dyDescent="0.35">
      <c r="A615" s="1">
        <v>1102401</v>
      </c>
      <c r="B615" s="2" t="s">
        <v>567</v>
      </c>
      <c r="C615" s="2">
        <v>1</v>
      </c>
      <c r="D615" s="2">
        <v>11690</v>
      </c>
      <c r="E615" s="9">
        <v>615</v>
      </c>
      <c r="F615" s="9">
        <v>13650</v>
      </c>
      <c r="G615" s="3">
        <v>9.4</v>
      </c>
      <c r="H615" s="3">
        <v>30.4</v>
      </c>
      <c r="I615" s="3">
        <v>2.1</v>
      </c>
      <c r="J615" s="5">
        <f t="shared" si="9"/>
        <v>467.59235296087758</v>
      </c>
      <c r="K615" s="2">
        <v>36.944191000000004</v>
      </c>
      <c r="L615">
        <v>-5.2954660000000002</v>
      </c>
    </row>
    <row r="616" spans="1:12" ht="34.200000000000003" customHeight="1" thickBot="1" x14ac:dyDescent="0.35">
      <c r="A616" s="1">
        <v>1102402</v>
      </c>
      <c r="B616" s="2" t="s">
        <v>567</v>
      </c>
      <c r="C616" s="2">
        <v>2</v>
      </c>
      <c r="D616" s="2">
        <v>11690</v>
      </c>
      <c r="E616" s="9">
        <v>1607</v>
      </c>
      <c r="F616" s="9">
        <v>12950</v>
      </c>
      <c r="G616" s="3">
        <v>10.8</v>
      </c>
      <c r="H616" s="3">
        <v>26</v>
      </c>
      <c r="I616" s="3">
        <v>2.2000000000000002</v>
      </c>
      <c r="J616" s="5">
        <f t="shared" si="9"/>
        <v>1215.660613242565</v>
      </c>
      <c r="K616" s="2">
        <v>36.933844000000001</v>
      </c>
      <c r="L616">
        <v>-5.2657550000000004</v>
      </c>
    </row>
    <row r="617" spans="1:12" ht="34.200000000000003" customHeight="1" thickBot="1" x14ac:dyDescent="0.35">
      <c r="A617" s="1">
        <v>1102403</v>
      </c>
      <c r="B617" s="2" t="s">
        <v>567</v>
      </c>
      <c r="C617" s="2">
        <v>3</v>
      </c>
      <c r="D617" s="2">
        <v>11690</v>
      </c>
      <c r="E617" s="9">
        <v>972</v>
      </c>
      <c r="F617" s="9">
        <v>15750</v>
      </c>
      <c r="G617" s="3">
        <v>14.7</v>
      </c>
      <c r="H617" s="3">
        <v>23.5</v>
      </c>
      <c r="I617" s="3">
        <v>2.2999999999999998</v>
      </c>
      <c r="J617" s="5">
        <f t="shared" si="9"/>
        <v>940.63239665930519</v>
      </c>
      <c r="K617" s="2">
        <v>36.973184000000003</v>
      </c>
      <c r="L617">
        <v>-5.324954</v>
      </c>
    </row>
    <row r="618" spans="1:12" ht="34.200000000000003" customHeight="1" thickBot="1" x14ac:dyDescent="0.35">
      <c r="A618" s="1">
        <v>1102404</v>
      </c>
      <c r="B618" s="2" t="s">
        <v>567</v>
      </c>
      <c r="C618" s="2">
        <v>4</v>
      </c>
      <c r="D618" s="2">
        <v>11690</v>
      </c>
      <c r="E618" s="9">
        <v>4640</v>
      </c>
      <c r="F618" s="9">
        <v>15750</v>
      </c>
      <c r="G618" s="3">
        <v>18.100000000000001</v>
      </c>
      <c r="H618" s="3">
        <v>19.8</v>
      </c>
      <c r="I618" s="3">
        <v>2.5</v>
      </c>
      <c r="J618" s="5">
        <f t="shared" si="9"/>
        <v>4642.2042106820118</v>
      </c>
      <c r="K618" s="2">
        <v>36.894550000000002</v>
      </c>
      <c r="L618">
        <v>-5.278054</v>
      </c>
    </row>
    <row r="619" spans="1:12" ht="34.200000000000003" customHeight="1" thickBot="1" x14ac:dyDescent="0.35">
      <c r="A619" s="1">
        <v>1102501</v>
      </c>
      <c r="B619" s="2" t="s">
        <v>568</v>
      </c>
      <c r="C619" s="2">
        <v>1</v>
      </c>
      <c r="D619" s="2">
        <v>11178</v>
      </c>
      <c r="E619" s="9">
        <v>5516</v>
      </c>
      <c r="F619" s="9">
        <v>14350</v>
      </c>
      <c r="G619" s="3">
        <v>17.5</v>
      </c>
      <c r="H619" s="3">
        <v>16.7</v>
      </c>
      <c r="I619" s="3">
        <v>2.5</v>
      </c>
      <c r="J619" s="5">
        <f t="shared" si="9"/>
        <v>5155.9521158291</v>
      </c>
      <c r="K619" s="2">
        <v>36.529058999999997</v>
      </c>
      <c r="L619">
        <v>-5.8750859999999996</v>
      </c>
    </row>
    <row r="620" spans="1:12" ht="34.200000000000003" customHeight="1" thickBot="1" x14ac:dyDescent="0.35">
      <c r="A620" s="1">
        <v>1102601</v>
      </c>
      <c r="B620" s="2" t="s">
        <v>569</v>
      </c>
      <c r="C620" s="2">
        <v>1</v>
      </c>
      <c r="D620" s="2">
        <v>11660</v>
      </c>
      <c r="E620" s="9">
        <v>2469</v>
      </c>
      <c r="F620" s="9">
        <v>14350</v>
      </c>
      <c r="G620" s="3">
        <v>14.1</v>
      </c>
      <c r="H620" s="3">
        <v>21.9</v>
      </c>
      <c r="I620" s="3">
        <v>2.2999999999999998</v>
      </c>
      <c r="J620" s="5">
        <f t="shared" si="9"/>
        <v>2200.808136713797</v>
      </c>
      <c r="K620" s="2">
        <v>36.790114000000003</v>
      </c>
      <c r="L620">
        <v>-5.5546490000000004</v>
      </c>
    </row>
    <row r="621" spans="1:12" ht="34.200000000000003" customHeight="1" thickBot="1" x14ac:dyDescent="0.35">
      <c r="A621" s="1">
        <v>1102602</v>
      </c>
      <c r="B621" s="2" t="s">
        <v>569</v>
      </c>
      <c r="C621" s="2">
        <v>2</v>
      </c>
      <c r="D621" s="2">
        <v>11660</v>
      </c>
      <c r="E621" s="9">
        <v>3196</v>
      </c>
      <c r="F621" s="9">
        <v>13650</v>
      </c>
      <c r="G621" s="3">
        <v>16.100000000000001</v>
      </c>
      <c r="H621" s="3">
        <v>18</v>
      </c>
      <c r="I621" s="3">
        <v>2.5</v>
      </c>
      <c r="J621" s="5">
        <f t="shared" si="9"/>
        <v>2765.5442644942955</v>
      </c>
      <c r="K621" s="2">
        <v>36.786113999999998</v>
      </c>
      <c r="L621">
        <v>-5.5536009999999996</v>
      </c>
    </row>
    <row r="622" spans="1:12" ht="34.200000000000003" customHeight="1" thickBot="1" x14ac:dyDescent="0.35">
      <c r="A622" s="1">
        <v>1102701</v>
      </c>
      <c r="B622" s="2" t="s">
        <v>648</v>
      </c>
      <c r="C622" s="2">
        <v>1</v>
      </c>
      <c r="D622" s="2">
        <v>11500</v>
      </c>
      <c r="E622" s="9">
        <v>42328</v>
      </c>
      <c r="F622" s="9">
        <v>15050</v>
      </c>
      <c r="G622" s="3">
        <v>15.8</v>
      </c>
      <c r="H622" s="3">
        <v>21.7</v>
      </c>
      <c r="I622" s="3">
        <v>2.5</v>
      </c>
      <c r="J622" s="5">
        <f t="shared" si="9"/>
        <v>38737.006505084035</v>
      </c>
      <c r="K622" s="2">
        <v>36.610263000000003</v>
      </c>
      <c r="L622">
        <v>-6.2175219999999998</v>
      </c>
    </row>
    <row r="623" spans="1:12" ht="34.200000000000003" customHeight="1" thickBot="1" x14ac:dyDescent="0.35">
      <c r="A623" s="1">
        <v>1102702</v>
      </c>
      <c r="B623" s="2" t="s">
        <v>648</v>
      </c>
      <c r="C623" s="2">
        <v>2</v>
      </c>
      <c r="D623" s="2">
        <v>11500</v>
      </c>
      <c r="E623" s="9">
        <v>17265</v>
      </c>
      <c r="F623" s="9">
        <v>24150</v>
      </c>
      <c r="G623" s="3">
        <v>19.399999999999999</v>
      </c>
      <c r="H623" s="3">
        <v>17.3</v>
      </c>
      <c r="I623" s="3">
        <v>2.8</v>
      </c>
      <c r="J623" s="5">
        <f t="shared" si="9"/>
        <v>25993.971185166709</v>
      </c>
      <c r="K623" s="2">
        <v>36.590435999999997</v>
      </c>
      <c r="L623">
        <v>-6.261863</v>
      </c>
    </row>
    <row r="624" spans="1:12" ht="34.200000000000003" customHeight="1" thickBot="1" x14ac:dyDescent="0.35">
      <c r="A624" s="1">
        <v>1102703</v>
      </c>
      <c r="B624" s="2" t="s">
        <v>648</v>
      </c>
      <c r="C624" s="2">
        <v>3</v>
      </c>
      <c r="D624" s="2">
        <v>11500</v>
      </c>
      <c r="E624" s="9">
        <v>24957</v>
      </c>
      <c r="F624" s="9">
        <v>15750</v>
      </c>
      <c r="G624" s="3">
        <v>21.6</v>
      </c>
      <c r="H624" s="3">
        <v>12.9</v>
      </c>
      <c r="I624" s="3">
        <v>2.9</v>
      </c>
      <c r="J624" s="5">
        <f t="shared" si="9"/>
        <v>25635.728960978551</v>
      </c>
      <c r="K624" s="2">
        <v>36.609298000000003</v>
      </c>
      <c r="L624">
        <v>-6.2299350000000002</v>
      </c>
    </row>
    <row r="625" spans="1:12" ht="34.200000000000003" customHeight="1" thickBot="1" x14ac:dyDescent="0.35">
      <c r="A625" s="1">
        <v>1102704</v>
      </c>
      <c r="B625" s="2" t="s">
        <v>648</v>
      </c>
      <c r="C625" s="2">
        <v>4</v>
      </c>
      <c r="D625" s="2">
        <v>11500</v>
      </c>
      <c r="E625" s="9">
        <v>5088</v>
      </c>
      <c r="F625" s="9">
        <v>24850</v>
      </c>
      <c r="G625" s="3">
        <v>15.2</v>
      </c>
      <c r="H625" s="3">
        <v>21.5</v>
      </c>
      <c r="I625" s="3">
        <v>2.5</v>
      </c>
      <c r="J625" s="5">
        <f t="shared" si="9"/>
        <v>7655.7064275554485</v>
      </c>
      <c r="K625" s="2">
        <v>36.584629</v>
      </c>
      <c r="L625">
        <v>-6.1881399999999998</v>
      </c>
    </row>
    <row r="626" spans="1:12" ht="34.200000000000003" customHeight="1" thickBot="1" x14ac:dyDescent="0.35">
      <c r="A626" s="1">
        <v>1102801</v>
      </c>
      <c r="B626" s="2" t="s">
        <v>571</v>
      </c>
      <c r="C626" s="2">
        <v>1</v>
      </c>
      <c r="D626" s="2">
        <v>11510</v>
      </c>
      <c r="E626" s="9">
        <v>9135</v>
      </c>
      <c r="F626" s="9">
        <v>17850</v>
      </c>
      <c r="G626" s="3">
        <v>12.2</v>
      </c>
      <c r="H626" s="3">
        <v>21.7</v>
      </c>
      <c r="I626" s="3">
        <v>2.5</v>
      </c>
      <c r="J626" s="5">
        <f t="shared" si="9"/>
        <v>9536.0284041721625</v>
      </c>
      <c r="K626" s="2">
        <v>36.528733000000003</v>
      </c>
      <c r="L626">
        <v>-6.1980040000000001</v>
      </c>
    </row>
    <row r="627" spans="1:12" ht="34.200000000000003" customHeight="1" thickBot="1" x14ac:dyDescent="0.35">
      <c r="A627" s="1">
        <v>1102802</v>
      </c>
      <c r="B627" s="2" t="s">
        <v>571</v>
      </c>
      <c r="C627" s="2">
        <v>2</v>
      </c>
      <c r="D627" s="2">
        <v>11510</v>
      </c>
      <c r="E627" s="9">
        <v>2753</v>
      </c>
      <c r="F627" s="9">
        <v>17150</v>
      </c>
      <c r="G627" s="3">
        <v>13.5</v>
      </c>
      <c r="H627" s="3">
        <v>25.7</v>
      </c>
      <c r="I627" s="3">
        <v>2.4</v>
      </c>
      <c r="J627" s="5">
        <f t="shared" si="9"/>
        <v>2734.0183166429651</v>
      </c>
      <c r="K627" s="2">
        <v>36.529685000000001</v>
      </c>
      <c r="L627">
        <v>-6.192151</v>
      </c>
    </row>
    <row r="628" spans="1:12" ht="34.200000000000003" customHeight="1" thickBot="1" x14ac:dyDescent="0.35">
      <c r="A628" s="1">
        <v>1102803</v>
      </c>
      <c r="B628" s="2" t="s">
        <v>571</v>
      </c>
      <c r="C628" s="2">
        <v>3</v>
      </c>
      <c r="D628" s="2">
        <v>11510</v>
      </c>
      <c r="E628" s="9">
        <v>11782</v>
      </c>
      <c r="F628" s="9">
        <v>18550</v>
      </c>
      <c r="G628" s="3">
        <v>13.7</v>
      </c>
      <c r="H628" s="3">
        <v>22.6</v>
      </c>
      <c r="I628" s="3">
        <v>2.5</v>
      </c>
      <c r="J628" s="5">
        <f t="shared" si="9"/>
        <v>12866.294681253556</v>
      </c>
      <c r="K628" s="2">
        <v>36.530402000000002</v>
      </c>
      <c r="L628">
        <v>-6.1875220000000004</v>
      </c>
    </row>
    <row r="629" spans="1:12" ht="34.200000000000003" customHeight="1" thickBot="1" x14ac:dyDescent="0.35">
      <c r="A629" s="1">
        <v>1102804</v>
      </c>
      <c r="B629" s="2" t="s">
        <v>571</v>
      </c>
      <c r="C629" s="2">
        <v>4</v>
      </c>
      <c r="D629" s="2">
        <v>11510</v>
      </c>
      <c r="E629" s="9">
        <v>18176</v>
      </c>
      <c r="F629" s="9">
        <v>17150</v>
      </c>
      <c r="G629" s="3">
        <v>22</v>
      </c>
      <c r="H629" s="3">
        <v>10.9</v>
      </c>
      <c r="I629" s="3">
        <v>2.7</v>
      </c>
      <c r="J629" s="5">
        <f t="shared" si="9"/>
        <v>21534.599752155777</v>
      </c>
      <c r="K629" s="2">
        <v>36.495908</v>
      </c>
      <c r="L629">
        <v>-6.0983099999999997</v>
      </c>
    </row>
    <row r="630" spans="1:12" ht="34.200000000000003" customHeight="1" thickBot="1" x14ac:dyDescent="0.35">
      <c r="A630" s="1">
        <v>1102901</v>
      </c>
      <c r="B630" s="2" t="s">
        <v>572</v>
      </c>
      <c r="C630" s="2">
        <v>1</v>
      </c>
      <c r="D630" s="2">
        <v>11659</v>
      </c>
      <c r="E630" s="9">
        <v>6891</v>
      </c>
      <c r="F630" s="9">
        <v>13650</v>
      </c>
      <c r="G630" s="3">
        <v>19.2</v>
      </c>
      <c r="H630" s="3">
        <v>12.9</v>
      </c>
      <c r="I630" s="3">
        <v>2.7</v>
      </c>
      <c r="J630" s="5">
        <f t="shared" si="9"/>
        <v>6217.3951879655197</v>
      </c>
      <c r="K630" s="2">
        <v>36.919510000000002</v>
      </c>
      <c r="L630">
        <v>-5.5462600000000002</v>
      </c>
    </row>
    <row r="631" spans="1:12" ht="34.200000000000003" customHeight="1" thickBot="1" x14ac:dyDescent="0.35">
      <c r="A631" s="1">
        <v>1103001</v>
      </c>
      <c r="B631" s="2" t="s">
        <v>573</v>
      </c>
      <c r="C631" s="2">
        <v>1</v>
      </c>
      <c r="D631" s="2">
        <v>11520</v>
      </c>
      <c r="E631" s="9">
        <v>7897</v>
      </c>
      <c r="F631" s="9">
        <v>20650</v>
      </c>
      <c r="G631" s="3">
        <v>19</v>
      </c>
      <c r="H631" s="3">
        <v>16.399999999999999</v>
      </c>
      <c r="I631" s="3">
        <v>2.6</v>
      </c>
      <c r="J631" s="5">
        <f t="shared" si="9"/>
        <v>10601.933352850476</v>
      </c>
      <c r="K631" s="2">
        <v>36.617066000000001</v>
      </c>
      <c r="L631">
        <v>-6.3578210000000004</v>
      </c>
    </row>
    <row r="632" spans="1:12" ht="34.200000000000003" customHeight="1" thickBot="1" x14ac:dyDescent="0.35">
      <c r="A632" s="1">
        <v>1103002</v>
      </c>
      <c r="B632" s="2" t="s">
        <v>573</v>
      </c>
      <c r="C632" s="2">
        <v>2</v>
      </c>
      <c r="D632" s="2">
        <v>11520</v>
      </c>
      <c r="E632" s="9">
        <v>5351</v>
      </c>
      <c r="F632" s="9">
        <v>17850</v>
      </c>
      <c r="G632" s="3">
        <v>19.3</v>
      </c>
      <c r="H632" s="3">
        <v>16.100000000000001</v>
      </c>
      <c r="I632" s="3">
        <v>2.5</v>
      </c>
      <c r="J632" s="5">
        <f t="shared" si="9"/>
        <v>6369.789100439807</v>
      </c>
      <c r="K632" s="2">
        <v>36.623775999999999</v>
      </c>
      <c r="L632">
        <v>-6.3558459999999997</v>
      </c>
    </row>
    <row r="633" spans="1:12" ht="34.200000000000003" customHeight="1" thickBot="1" x14ac:dyDescent="0.35">
      <c r="A633" s="1">
        <v>1103003</v>
      </c>
      <c r="B633" s="2" t="s">
        <v>573</v>
      </c>
      <c r="C633" s="2">
        <v>3</v>
      </c>
      <c r="D633" s="2">
        <v>11520</v>
      </c>
      <c r="E633" s="9">
        <v>15908</v>
      </c>
      <c r="F633" s="9">
        <v>15750</v>
      </c>
      <c r="G633" s="3">
        <v>16</v>
      </c>
      <c r="H633" s="3">
        <v>20.100000000000001</v>
      </c>
      <c r="I633" s="3">
        <v>2.5</v>
      </c>
      <c r="J633" s="5">
        <f t="shared" si="9"/>
        <v>15526.977807118585</v>
      </c>
      <c r="K633" s="2">
        <v>36.620897999999997</v>
      </c>
      <c r="L633">
        <v>-6.3588969999999998</v>
      </c>
    </row>
    <row r="634" spans="1:12" ht="34.200000000000003" customHeight="1" thickBot="1" x14ac:dyDescent="0.35">
      <c r="A634" s="1">
        <v>1103101</v>
      </c>
      <c r="B634" s="2" t="s">
        <v>574</v>
      </c>
      <c r="C634" s="2">
        <v>1</v>
      </c>
      <c r="D634" s="2">
        <v>11100</v>
      </c>
      <c r="E634" s="9">
        <v>21225</v>
      </c>
      <c r="F634" s="9">
        <v>17150</v>
      </c>
      <c r="G634" s="3">
        <v>17.3</v>
      </c>
      <c r="H634" s="3">
        <v>19.100000000000001</v>
      </c>
      <c r="I634" s="3">
        <v>2.6</v>
      </c>
      <c r="J634" s="5">
        <f t="shared" si="9"/>
        <v>22650.553863747056</v>
      </c>
      <c r="K634" s="2">
        <v>36.474339000000001</v>
      </c>
      <c r="L634">
        <v>-6.1847580000000004</v>
      </c>
    </row>
    <row r="635" spans="1:12" ht="34.200000000000003" customHeight="1" thickBot="1" x14ac:dyDescent="0.35">
      <c r="A635" s="1">
        <v>1103102</v>
      </c>
      <c r="B635" s="2" t="s">
        <v>574</v>
      </c>
      <c r="C635" s="2">
        <v>2</v>
      </c>
      <c r="D635" s="2">
        <v>11100</v>
      </c>
      <c r="E635" s="9">
        <v>938</v>
      </c>
      <c r="F635" s="9">
        <v>18550</v>
      </c>
      <c r="G635" s="3">
        <v>15.8</v>
      </c>
      <c r="H635" s="3">
        <v>25.5</v>
      </c>
      <c r="I635" s="3">
        <v>2.5</v>
      </c>
      <c r="J635" s="5">
        <f t="shared" si="9"/>
        <v>1015.3287581278794</v>
      </c>
      <c r="K635" s="2">
        <v>36.469957999999998</v>
      </c>
      <c r="L635">
        <v>-6.1947760000000001</v>
      </c>
    </row>
    <row r="636" spans="1:12" ht="34.200000000000003" customHeight="1" thickBot="1" x14ac:dyDescent="0.35">
      <c r="A636" s="1">
        <v>1103103</v>
      </c>
      <c r="B636" s="2" t="s">
        <v>574</v>
      </c>
      <c r="C636" s="2">
        <v>3</v>
      </c>
      <c r="D636" s="2">
        <v>11100</v>
      </c>
      <c r="E636" s="9">
        <v>8001</v>
      </c>
      <c r="F636" s="9">
        <v>17850</v>
      </c>
      <c r="G636" s="3">
        <v>13.6</v>
      </c>
      <c r="H636" s="3">
        <v>23.7</v>
      </c>
      <c r="I636" s="3">
        <v>2.5</v>
      </c>
      <c r="J636" s="5">
        <f t="shared" si="9"/>
        <v>8296.8715640278024</v>
      </c>
      <c r="K636" s="2">
        <v>36.47175</v>
      </c>
      <c r="L636">
        <v>-6.2007329999999996</v>
      </c>
    </row>
    <row r="637" spans="1:12" ht="34.200000000000003" customHeight="1" thickBot="1" x14ac:dyDescent="0.35">
      <c r="A637" s="1">
        <v>1103104</v>
      </c>
      <c r="B637" s="2" t="s">
        <v>574</v>
      </c>
      <c r="C637" s="2">
        <v>4</v>
      </c>
      <c r="D637" s="2">
        <v>11100</v>
      </c>
      <c r="E637" s="9">
        <v>7474</v>
      </c>
      <c r="F637" s="9">
        <v>18550</v>
      </c>
      <c r="G637" s="3">
        <v>15</v>
      </c>
      <c r="H637" s="3">
        <v>23.3</v>
      </c>
      <c r="I637" s="3">
        <v>2.5</v>
      </c>
      <c r="J637" s="5">
        <f t="shared" si="9"/>
        <v>8215.5856523896964</v>
      </c>
      <c r="K637" s="2">
        <v>36.465941000000001</v>
      </c>
      <c r="L637">
        <v>-6.1983920000000001</v>
      </c>
    </row>
    <row r="638" spans="1:12" ht="34.200000000000003" customHeight="1" thickBot="1" x14ac:dyDescent="0.35">
      <c r="A638" s="1">
        <v>1103105</v>
      </c>
      <c r="B638" s="2" t="s">
        <v>574</v>
      </c>
      <c r="C638" s="2">
        <v>5</v>
      </c>
      <c r="D638" s="2">
        <v>11100</v>
      </c>
      <c r="E638" s="9">
        <v>10532</v>
      </c>
      <c r="F638" s="9">
        <v>19250</v>
      </c>
      <c r="G638" s="3">
        <v>15.3</v>
      </c>
      <c r="H638" s="3">
        <v>22.7</v>
      </c>
      <c r="I638" s="3">
        <v>2.6</v>
      </c>
      <c r="J638" s="5">
        <f t="shared" si="9"/>
        <v>11896.195315698611</v>
      </c>
      <c r="K638" s="2">
        <v>36.463005000000003</v>
      </c>
      <c r="L638">
        <v>-6.2043590000000002</v>
      </c>
    </row>
    <row r="639" spans="1:12" ht="34.200000000000003" customHeight="1" thickBot="1" x14ac:dyDescent="0.35">
      <c r="A639" s="1">
        <v>1103106</v>
      </c>
      <c r="B639" s="2" t="s">
        <v>574</v>
      </c>
      <c r="C639" s="2">
        <v>6</v>
      </c>
      <c r="D639" s="2">
        <v>11100</v>
      </c>
      <c r="E639" s="9">
        <v>45019</v>
      </c>
      <c r="F639" s="9">
        <v>17150</v>
      </c>
      <c r="G639" s="3">
        <v>18.399999999999999</v>
      </c>
      <c r="H639" s="3">
        <v>17.8</v>
      </c>
      <c r="I639" s="3">
        <v>2.7</v>
      </c>
      <c r="J639" s="5">
        <f t="shared" si="9"/>
        <v>48296.788790222512</v>
      </c>
      <c r="K639" s="2">
        <v>36.461444</v>
      </c>
      <c r="L639">
        <v>-6.201327</v>
      </c>
    </row>
    <row r="640" spans="1:12" ht="34.200000000000003" customHeight="1" thickBot="1" x14ac:dyDescent="0.35">
      <c r="A640" s="1">
        <v>1190201</v>
      </c>
      <c r="B640" s="2" t="s">
        <v>586</v>
      </c>
      <c r="C640" s="2">
        <v>1</v>
      </c>
      <c r="D640" s="2">
        <v>11580</v>
      </c>
      <c r="E640" s="9">
        <v>4469</v>
      </c>
      <c r="F640" s="9">
        <v>14350</v>
      </c>
      <c r="G640" s="3">
        <v>16.3</v>
      </c>
      <c r="H640" s="3">
        <v>19.2</v>
      </c>
      <c r="I640" s="3">
        <v>2.2999999999999998</v>
      </c>
      <c r="J640" s="5">
        <f t="shared" si="9"/>
        <v>4195.2684558142282</v>
      </c>
      <c r="K640" s="2">
        <v>36.607374</v>
      </c>
      <c r="L640">
        <v>-5.7988189999999999</v>
      </c>
    </row>
    <row r="641" spans="1:12" ht="34.200000000000003" customHeight="1" thickBot="1" x14ac:dyDescent="0.35">
      <c r="A641" s="1">
        <v>1190301</v>
      </c>
      <c r="B641" s="2" t="s">
        <v>587</v>
      </c>
      <c r="C641" s="2">
        <v>1</v>
      </c>
      <c r="D641" s="2">
        <v>11337</v>
      </c>
      <c r="E641" s="9">
        <v>2695</v>
      </c>
      <c r="F641" s="9">
        <v>14350</v>
      </c>
      <c r="G641" s="3">
        <v>18.100000000000001</v>
      </c>
      <c r="H641" s="3">
        <v>17.600000000000001</v>
      </c>
      <c r="I641" s="3">
        <v>2.7</v>
      </c>
      <c r="J641" s="5">
        <f t="shared" si="9"/>
        <v>2416.7795602175293</v>
      </c>
      <c r="K641" s="2">
        <v>36.359070000000003</v>
      </c>
      <c r="L641">
        <v>-5.363435</v>
      </c>
    </row>
    <row r="642" spans="1:12" ht="34.200000000000003" customHeight="1" thickBot="1" x14ac:dyDescent="0.35">
      <c r="A642" s="1">
        <v>1103301</v>
      </c>
      <c r="B642" s="2" t="s">
        <v>576</v>
      </c>
      <c r="C642" s="2">
        <v>1</v>
      </c>
      <c r="D642" s="2">
        <v>11310</v>
      </c>
      <c r="E642" s="9">
        <v>3380</v>
      </c>
      <c r="F642" s="9">
        <v>17850</v>
      </c>
      <c r="G642" s="3">
        <v>17</v>
      </c>
      <c r="H642" s="3">
        <v>17.600000000000001</v>
      </c>
      <c r="I642" s="3">
        <v>2.7</v>
      </c>
      <c r="J642" s="5">
        <f t="shared" si="9"/>
        <v>3729.0792413493045</v>
      </c>
      <c r="K642" s="2">
        <v>36.209136000000001</v>
      </c>
      <c r="L642">
        <v>-5.383197</v>
      </c>
    </row>
    <row r="643" spans="1:12" ht="34.200000000000003" customHeight="1" thickBot="1" x14ac:dyDescent="0.35">
      <c r="A643" s="1">
        <v>1103302</v>
      </c>
      <c r="B643" s="2" t="s">
        <v>576</v>
      </c>
      <c r="C643" s="2">
        <v>2</v>
      </c>
      <c r="D643" s="2">
        <v>11310</v>
      </c>
      <c r="E643" s="9">
        <v>9758</v>
      </c>
      <c r="F643" s="9">
        <v>17150</v>
      </c>
      <c r="G643" s="3">
        <v>19.2</v>
      </c>
      <c r="H643" s="3">
        <v>15.6</v>
      </c>
      <c r="I643" s="3">
        <v>2.7</v>
      </c>
      <c r="J643" s="5">
        <f t="shared" si="9"/>
        <v>10780.651336114261</v>
      </c>
      <c r="K643" s="2">
        <v>36.213352999999998</v>
      </c>
      <c r="L643">
        <v>-5.3872119999999999</v>
      </c>
    </row>
    <row r="644" spans="1:12" ht="34.200000000000003" customHeight="1" thickBot="1" x14ac:dyDescent="0.35">
      <c r="A644" s="1">
        <v>1103303</v>
      </c>
      <c r="B644" s="2" t="s">
        <v>576</v>
      </c>
      <c r="C644" s="2">
        <v>3</v>
      </c>
      <c r="D644" s="2">
        <v>11310</v>
      </c>
      <c r="E644" s="9">
        <v>4600</v>
      </c>
      <c r="F644" s="9">
        <v>15050</v>
      </c>
      <c r="G644" s="3">
        <v>20.5</v>
      </c>
      <c r="H644" s="3">
        <v>15.7</v>
      </c>
      <c r="I644" s="3">
        <v>2.7</v>
      </c>
      <c r="J644" s="5">
        <f t="shared" si="9"/>
        <v>4511.4476386568585</v>
      </c>
      <c r="K644" s="2">
        <v>36.175894999999997</v>
      </c>
      <c r="L644">
        <v>-5.3736379999999997</v>
      </c>
    </row>
    <row r="645" spans="1:12" ht="34.200000000000003" customHeight="1" thickBot="1" x14ac:dyDescent="0.35">
      <c r="A645" s="1">
        <v>1103304</v>
      </c>
      <c r="B645" s="2" t="s">
        <v>576</v>
      </c>
      <c r="C645" s="2">
        <v>4</v>
      </c>
      <c r="D645" s="2">
        <v>11311</v>
      </c>
      <c r="E645" s="9">
        <v>5827</v>
      </c>
      <c r="F645" s="9">
        <v>15050</v>
      </c>
      <c r="G645" s="3">
        <v>20</v>
      </c>
      <c r="H645" s="3">
        <v>14.5</v>
      </c>
      <c r="I645" s="3">
        <v>2.9</v>
      </c>
      <c r="J645" s="5">
        <f t="shared" si="9"/>
        <v>5551.0759281368582</v>
      </c>
      <c r="K645" s="2">
        <v>36.208354</v>
      </c>
      <c r="L645">
        <v>-5.4203830000000002</v>
      </c>
    </row>
    <row r="646" spans="1:12" ht="34.200000000000003" customHeight="1" thickBot="1" x14ac:dyDescent="0.35">
      <c r="A646" s="1">
        <v>1103305</v>
      </c>
      <c r="B646" s="2" t="s">
        <v>576</v>
      </c>
      <c r="C646" s="2">
        <v>5</v>
      </c>
      <c r="D646" s="2">
        <v>11311</v>
      </c>
      <c r="E646" s="9">
        <v>10343</v>
      </c>
      <c r="F646" s="9">
        <v>18550</v>
      </c>
      <c r="G646" s="3">
        <v>19.899999999999999</v>
      </c>
      <c r="H646" s="3">
        <v>16.100000000000001</v>
      </c>
      <c r="I646" s="3">
        <v>2.6</v>
      </c>
      <c r="J646" s="5">
        <f t="shared" si="9"/>
        <v>12619.533682877502</v>
      </c>
      <c r="K646" s="2">
        <v>36.301875000000003</v>
      </c>
      <c r="L646">
        <v>-5.3304970000000003</v>
      </c>
    </row>
    <row r="647" spans="1:12" ht="34.200000000000003" customHeight="1" thickBot="1" x14ac:dyDescent="0.35">
      <c r="A647" s="1">
        <v>1103201</v>
      </c>
      <c r="B647" s="2" t="s">
        <v>575</v>
      </c>
      <c r="C647" s="2">
        <v>1</v>
      </c>
      <c r="D647" s="2">
        <v>11540</v>
      </c>
      <c r="E647" s="9">
        <v>28166</v>
      </c>
      <c r="F647" s="9">
        <v>12250</v>
      </c>
      <c r="G647" s="3">
        <v>19.7</v>
      </c>
      <c r="H647" s="3">
        <v>15.5</v>
      </c>
      <c r="I647" s="3">
        <v>2.8</v>
      </c>
      <c r="J647" s="5">
        <f t="shared" ref="J647:J664" si="10">E647*(F647/$H$1)*(1+(G647/100)-(H647/100))*($H$2/I647)^0.5</f>
        <v>21952.912982279857</v>
      </c>
      <c r="K647" s="2">
        <v>36.773637999999998</v>
      </c>
      <c r="L647">
        <v>-6.343674</v>
      </c>
    </row>
    <row r="648" spans="1:12" ht="34.200000000000003" customHeight="1" thickBot="1" x14ac:dyDescent="0.35">
      <c r="A648" s="1">
        <v>1103202</v>
      </c>
      <c r="B648" s="2" t="s">
        <v>575</v>
      </c>
      <c r="C648" s="2">
        <v>2</v>
      </c>
      <c r="D648" s="2">
        <v>11540</v>
      </c>
      <c r="E648" s="9">
        <v>8080</v>
      </c>
      <c r="F648" s="9">
        <v>15050</v>
      </c>
      <c r="G648" s="3">
        <v>18.2</v>
      </c>
      <c r="H648" s="3">
        <v>17.5</v>
      </c>
      <c r="I648" s="3">
        <v>2.7</v>
      </c>
      <c r="J648" s="5">
        <f t="shared" si="10"/>
        <v>7614.4342015412049</v>
      </c>
      <c r="K648" s="2">
        <v>36.773567</v>
      </c>
      <c r="L648">
        <v>-6.3551890000000002</v>
      </c>
    </row>
    <row r="649" spans="1:12" ht="34.200000000000003" customHeight="1" thickBot="1" x14ac:dyDescent="0.35">
      <c r="A649" s="1">
        <v>1103203</v>
      </c>
      <c r="B649" s="2" t="s">
        <v>575</v>
      </c>
      <c r="C649" s="2">
        <v>3</v>
      </c>
      <c r="D649" s="2">
        <v>11540</v>
      </c>
      <c r="E649" s="9">
        <v>7873</v>
      </c>
      <c r="F649" s="9">
        <v>16450</v>
      </c>
      <c r="G649" s="3">
        <v>13.7</v>
      </c>
      <c r="H649" s="3">
        <v>27.8</v>
      </c>
      <c r="I649" s="3">
        <v>2.2999999999999998</v>
      </c>
      <c r="J649" s="5">
        <f t="shared" si="10"/>
        <v>7495.1027084465832</v>
      </c>
      <c r="K649" s="2">
        <v>36.779454000000001</v>
      </c>
      <c r="L649">
        <v>-6.3544219999999996</v>
      </c>
    </row>
    <row r="650" spans="1:12" ht="34.200000000000003" customHeight="1" thickBot="1" x14ac:dyDescent="0.35">
      <c r="A650" s="1">
        <v>1103204</v>
      </c>
      <c r="B650" s="2" t="s">
        <v>575</v>
      </c>
      <c r="C650" s="2">
        <v>4</v>
      </c>
      <c r="D650" s="2">
        <v>11540</v>
      </c>
      <c r="E650" s="9">
        <v>3482</v>
      </c>
      <c r="F650" s="9">
        <v>15050</v>
      </c>
      <c r="G650" s="3">
        <v>17.899999999999999</v>
      </c>
      <c r="H650" s="3">
        <v>19.5</v>
      </c>
      <c r="I650" s="3">
        <v>2.4</v>
      </c>
      <c r="J650" s="5">
        <f t="shared" si="10"/>
        <v>3400.924049772706</v>
      </c>
      <c r="K650" s="2">
        <v>36.777434</v>
      </c>
      <c r="L650">
        <v>-6.353656</v>
      </c>
    </row>
    <row r="651" spans="1:12" ht="34.200000000000003" customHeight="1" thickBot="1" x14ac:dyDescent="0.35">
      <c r="A651" s="1">
        <v>1103205</v>
      </c>
      <c r="B651" s="2" t="s">
        <v>575</v>
      </c>
      <c r="C651" s="2">
        <v>5</v>
      </c>
      <c r="D651" s="2">
        <v>11540</v>
      </c>
      <c r="E651" s="9">
        <v>21807</v>
      </c>
      <c r="F651" s="9">
        <v>12950</v>
      </c>
      <c r="G651" s="3">
        <v>19.600000000000001</v>
      </c>
      <c r="H651" s="3">
        <v>16.899999999999999</v>
      </c>
      <c r="I651" s="3">
        <v>2.8</v>
      </c>
      <c r="J651" s="5">
        <f t="shared" si="10"/>
        <v>17709.214932834067</v>
      </c>
      <c r="K651" s="2">
        <v>36.782496000000002</v>
      </c>
      <c r="L651">
        <v>-6.3500129999999997</v>
      </c>
    </row>
    <row r="652" spans="1:12" ht="34.200000000000003" customHeight="1" thickBot="1" x14ac:dyDescent="0.35">
      <c r="A652" s="1">
        <v>1103401</v>
      </c>
      <c r="B652" s="2" t="s">
        <v>577</v>
      </c>
      <c r="C652" s="2">
        <v>1</v>
      </c>
      <c r="D652" s="2">
        <v>11692</v>
      </c>
      <c r="E652" s="9">
        <v>2608</v>
      </c>
      <c r="F652" s="9">
        <v>15050</v>
      </c>
      <c r="G652" s="3">
        <v>14.5</v>
      </c>
      <c r="H652" s="3">
        <v>19.8</v>
      </c>
      <c r="I652" s="3">
        <v>2.2999999999999998</v>
      </c>
      <c r="J652" s="5">
        <f t="shared" si="10"/>
        <v>2504.2191768629864</v>
      </c>
      <c r="K652" s="2">
        <v>36.870007000000001</v>
      </c>
      <c r="L652">
        <v>-5.2213440000000002</v>
      </c>
    </row>
    <row r="653" spans="1:12" ht="34.200000000000003" customHeight="1" thickBot="1" x14ac:dyDescent="0.35">
      <c r="A653" s="1">
        <v>1103501</v>
      </c>
      <c r="B653" s="2" t="s">
        <v>578</v>
      </c>
      <c r="C653" s="2">
        <v>1</v>
      </c>
      <c r="D653" s="2">
        <v>11380</v>
      </c>
      <c r="E653" s="9">
        <v>13904</v>
      </c>
      <c r="F653" s="9">
        <v>17150</v>
      </c>
      <c r="G653" s="3">
        <v>16.5</v>
      </c>
      <c r="H653" s="3">
        <v>16.7</v>
      </c>
      <c r="I653" s="3">
        <v>2.5</v>
      </c>
      <c r="J653" s="5">
        <f t="shared" si="10"/>
        <v>15378.239114764066</v>
      </c>
      <c r="K653" s="2">
        <v>36.011964999999996</v>
      </c>
      <c r="L653">
        <v>-5.6029470000000003</v>
      </c>
    </row>
    <row r="654" spans="1:12" ht="34.200000000000003" customHeight="1" thickBot="1" x14ac:dyDescent="0.35">
      <c r="A654" s="1">
        <v>1103502</v>
      </c>
      <c r="B654" s="2" t="s">
        <v>578</v>
      </c>
      <c r="C654" s="2">
        <v>2</v>
      </c>
      <c r="D654" s="2">
        <v>11380</v>
      </c>
      <c r="E654" s="9">
        <v>4352</v>
      </c>
      <c r="F654" s="9">
        <v>15750</v>
      </c>
      <c r="G654" s="3">
        <v>15.1</v>
      </c>
      <c r="H654" s="3">
        <v>18.3</v>
      </c>
      <c r="I654" s="3">
        <v>2.4</v>
      </c>
      <c r="J654" s="5">
        <f t="shared" si="10"/>
        <v>4376.0408782919285</v>
      </c>
      <c r="K654" s="2">
        <v>36.071190000000001</v>
      </c>
      <c r="L654">
        <v>-5.5899710000000002</v>
      </c>
    </row>
    <row r="655" spans="1:12" ht="34.200000000000003" customHeight="1" thickBot="1" x14ac:dyDescent="0.35">
      <c r="A655" s="1">
        <v>1103601</v>
      </c>
      <c r="B655" s="2" t="s">
        <v>579</v>
      </c>
      <c r="C655" s="2">
        <v>1</v>
      </c>
      <c r="D655" s="2">
        <v>11691</v>
      </c>
      <c r="E655" s="9">
        <v>800</v>
      </c>
      <c r="F655" s="9">
        <v>14350</v>
      </c>
      <c r="G655" s="3">
        <v>14.5</v>
      </c>
      <c r="H655" s="3">
        <v>24</v>
      </c>
      <c r="I655" s="3">
        <v>2.1</v>
      </c>
      <c r="J655" s="5">
        <f t="shared" si="10"/>
        <v>732.52594080639483</v>
      </c>
      <c r="K655" s="2">
        <v>36.910533999999998</v>
      </c>
      <c r="L655">
        <v>-5.2314790000000002</v>
      </c>
    </row>
    <row r="656" spans="1:12" ht="34.200000000000003" customHeight="1" thickBot="1" x14ac:dyDescent="0.35">
      <c r="A656" s="1">
        <v>1103701</v>
      </c>
      <c r="B656" s="2" t="s">
        <v>580</v>
      </c>
      <c r="C656" s="2">
        <v>1</v>
      </c>
      <c r="D656" s="2">
        <v>11560</v>
      </c>
      <c r="E656" s="9">
        <v>7021</v>
      </c>
      <c r="F656" s="9">
        <v>17150</v>
      </c>
      <c r="G656" s="3">
        <v>17.7</v>
      </c>
      <c r="H656" s="3">
        <v>19.7</v>
      </c>
      <c r="I656" s="3">
        <v>2.6</v>
      </c>
      <c r="J656" s="5">
        <f t="shared" si="10"/>
        <v>7477.2979786364576</v>
      </c>
      <c r="K656" s="2">
        <v>36.864671000000001</v>
      </c>
      <c r="L656">
        <v>-6.1505140000000003</v>
      </c>
    </row>
    <row r="657" spans="1:12" ht="34.200000000000003" customHeight="1" thickBot="1" x14ac:dyDescent="0.35">
      <c r="A657" s="1">
        <v>1103801</v>
      </c>
      <c r="B657" s="2" t="s">
        <v>581</v>
      </c>
      <c r="C657" s="2">
        <v>1</v>
      </c>
      <c r="D657" s="2">
        <v>11600</v>
      </c>
      <c r="E657" s="9">
        <v>16247</v>
      </c>
      <c r="F657" s="9">
        <v>16450</v>
      </c>
      <c r="G657" s="3">
        <v>16.399999999999999</v>
      </c>
      <c r="H657" s="3">
        <v>20.7</v>
      </c>
      <c r="I657" s="3">
        <v>2.5</v>
      </c>
      <c r="J657" s="5">
        <f t="shared" si="10"/>
        <v>16528.1104044852</v>
      </c>
      <c r="K657" s="2">
        <v>36.680138999999997</v>
      </c>
      <c r="L657">
        <v>-5.4449839999999998</v>
      </c>
    </row>
    <row r="658" spans="1:12" ht="34.200000000000003" customHeight="1" thickBot="1" x14ac:dyDescent="0.35">
      <c r="A658" s="1">
        <v>1103901</v>
      </c>
      <c r="B658" s="2" t="s">
        <v>582</v>
      </c>
      <c r="C658" s="2">
        <v>1</v>
      </c>
      <c r="D658" s="2">
        <v>11150</v>
      </c>
      <c r="E658" s="9">
        <v>1247</v>
      </c>
      <c r="F658" s="9">
        <v>13650</v>
      </c>
      <c r="G658" s="3">
        <v>9.4</v>
      </c>
      <c r="H658" s="3">
        <v>27.7</v>
      </c>
      <c r="I658" s="3">
        <v>2.1</v>
      </c>
      <c r="J658" s="5">
        <f t="shared" si="10"/>
        <v>980.51378327506268</v>
      </c>
      <c r="K658" s="2">
        <v>36.2866</v>
      </c>
      <c r="L658">
        <v>-6.0012689999999997</v>
      </c>
    </row>
    <row r="659" spans="1:12" ht="34.200000000000003" customHeight="1" thickBot="1" x14ac:dyDescent="0.35">
      <c r="A659" s="1">
        <v>1103902</v>
      </c>
      <c r="B659" s="2" t="s">
        <v>582</v>
      </c>
      <c r="C659" s="2">
        <v>2</v>
      </c>
      <c r="D659" s="2">
        <v>11150</v>
      </c>
      <c r="E659" s="9">
        <v>6605</v>
      </c>
      <c r="F659" s="9">
        <v>14350</v>
      </c>
      <c r="G659" s="3">
        <v>16</v>
      </c>
      <c r="H659" s="3">
        <v>18.7</v>
      </c>
      <c r="I659" s="3">
        <v>2.7</v>
      </c>
      <c r="J659" s="5">
        <f t="shared" si="10"/>
        <v>5734.5305429680484</v>
      </c>
      <c r="K659" s="2">
        <v>36.253132000000001</v>
      </c>
      <c r="L659">
        <v>-5.9633380000000002</v>
      </c>
    </row>
    <row r="660" spans="1:12" ht="34.200000000000003" customHeight="1" thickBot="1" x14ac:dyDescent="0.35">
      <c r="A660" s="1">
        <v>1103903</v>
      </c>
      <c r="B660" s="2" t="s">
        <v>582</v>
      </c>
      <c r="C660" s="2">
        <v>3</v>
      </c>
      <c r="D660" s="2">
        <v>11150</v>
      </c>
      <c r="E660" s="9">
        <v>5156</v>
      </c>
      <c r="F660" s="9">
        <v>13650</v>
      </c>
      <c r="G660" s="3">
        <v>19.5</v>
      </c>
      <c r="H660" s="3">
        <v>14.8</v>
      </c>
      <c r="I660" s="3">
        <v>2.6</v>
      </c>
      <c r="J660" s="5">
        <f t="shared" si="10"/>
        <v>4669.256765648588</v>
      </c>
      <c r="K660" s="2">
        <v>36.238979999999998</v>
      </c>
      <c r="L660">
        <v>-6.0484499999999999</v>
      </c>
    </row>
    <row r="661" spans="1:12" ht="34.200000000000003" customHeight="1" thickBot="1" x14ac:dyDescent="0.35">
      <c r="A661" s="1">
        <v>1104001</v>
      </c>
      <c r="B661" s="2" t="s">
        <v>583</v>
      </c>
      <c r="C661" s="2">
        <v>1</v>
      </c>
      <c r="D661" s="2">
        <v>11611</v>
      </c>
      <c r="E661" s="9">
        <v>467</v>
      </c>
      <c r="F661" s="9">
        <v>17150</v>
      </c>
      <c r="G661" s="3">
        <v>15.6</v>
      </c>
      <c r="H661" s="3">
        <v>22.9</v>
      </c>
      <c r="I661" s="3">
        <v>2.1</v>
      </c>
      <c r="J661" s="5">
        <f t="shared" si="10"/>
        <v>523.4717879301719</v>
      </c>
      <c r="K661" s="2">
        <v>36.686332</v>
      </c>
      <c r="L661">
        <v>-5.3671249999999997</v>
      </c>
    </row>
    <row r="662" spans="1:12" ht="34.200000000000003" customHeight="1" thickBot="1" x14ac:dyDescent="0.35">
      <c r="A662" s="1">
        <v>1104101</v>
      </c>
      <c r="B662" s="2" t="s">
        <v>584</v>
      </c>
      <c r="C662" s="2">
        <v>1</v>
      </c>
      <c r="D662" s="2">
        <v>11650</v>
      </c>
      <c r="E662" s="9">
        <v>3672</v>
      </c>
      <c r="F662" s="9">
        <v>15050</v>
      </c>
      <c r="G662" s="3">
        <v>16</v>
      </c>
      <c r="H662" s="3">
        <v>16.7</v>
      </c>
      <c r="I662" s="3">
        <v>2.5</v>
      </c>
      <c r="J662" s="5">
        <f t="shared" si="10"/>
        <v>3546.1786077761494</v>
      </c>
      <c r="K662" s="2">
        <v>36.867412999999999</v>
      </c>
      <c r="L662">
        <v>-5.644355</v>
      </c>
    </row>
    <row r="663" spans="1:12" ht="34.200000000000003" customHeight="1" thickBot="1" x14ac:dyDescent="0.35">
      <c r="A663" s="1">
        <v>1104102</v>
      </c>
      <c r="B663" s="2" t="s">
        <v>584</v>
      </c>
      <c r="C663" s="2">
        <v>2</v>
      </c>
      <c r="D663" s="2">
        <v>11650</v>
      </c>
      <c r="E663" s="9">
        <v>8555</v>
      </c>
      <c r="F663" s="9">
        <v>14350</v>
      </c>
      <c r="G663" s="3">
        <v>18</v>
      </c>
      <c r="H663" s="3">
        <v>17</v>
      </c>
      <c r="I663" s="3">
        <v>2.5</v>
      </c>
      <c r="J663" s="5">
        <f t="shared" si="10"/>
        <v>8012.452600808313</v>
      </c>
      <c r="K663" s="2">
        <v>36.862226</v>
      </c>
      <c r="L663">
        <v>-5.6444390000000002</v>
      </c>
    </row>
    <row r="664" spans="1:12" ht="34.200000000000003" customHeight="1" thickBot="1" x14ac:dyDescent="0.35">
      <c r="A664" s="1">
        <v>1104201</v>
      </c>
      <c r="B664" s="2" t="s">
        <v>588</v>
      </c>
      <c r="C664" s="2">
        <v>1</v>
      </c>
      <c r="D664" s="2">
        <v>11688</v>
      </c>
      <c r="E664" s="9">
        <v>1311</v>
      </c>
      <c r="F664" s="9">
        <v>15750</v>
      </c>
      <c r="G664" s="3">
        <v>12.1</v>
      </c>
      <c r="H664" s="3">
        <v>23</v>
      </c>
      <c r="I664" s="3">
        <v>2.2000000000000002</v>
      </c>
      <c r="J664" s="5">
        <f t="shared" si="10"/>
        <v>1267.3360898741305</v>
      </c>
      <c r="K664" s="2">
        <v>36.829881</v>
      </c>
      <c r="L664">
        <v>-5.4449170000000002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AE72-4B19-4275-9DC9-50AFE10C273D}">
  <dimension ref="A1:K180"/>
  <sheetViews>
    <sheetView topLeftCell="C157" workbookViewId="0">
      <selection activeCell="J2" sqref="J2:K180"/>
    </sheetView>
  </sheetViews>
  <sheetFormatPr baseColWidth="10" defaultColWidth="29.44140625" defaultRowHeight="14.4" x14ac:dyDescent="0.3"/>
  <cols>
    <col min="1" max="1" width="13.6640625" bestFit="1" customWidth="1"/>
    <col min="2" max="2" width="21.33203125" bestFit="1" customWidth="1"/>
    <col min="3" max="3" width="9" bestFit="1" customWidth="1"/>
    <col min="4" max="4" width="13" bestFit="1" customWidth="1"/>
    <col min="5" max="5" width="16.109375" style="6" bestFit="1" customWidth="1"/>
    <col min="6" max="6" width="14.33203125" bestFit="1" customWidth="1"/>
    <col min="7" max="7" width="28.21875" bestFit="1" customWidth="1"/>
    <col min="9" max="9" width="26.5546875" customWidth="1"/>
  </cols>
  <sheetData>
    <row r="1" spans="1:11" ht="41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82</v>
      </c>
      <c r="F1" s="4" t="s">
        <v>85</v>
      </c>
      <c r="G1" s="4" t="s">
        <v>83</v>
      </c>
      <c r="H1" s="4" t="s">
        <v>84</v>
      </c>
      <c r="I1" s="4" t="s">
        <v>81</v>
      </c>
    </row>
    <row r="2" spans="1:11" ht="15" thickBot="1" x14ac:dyDescent="0.35">
      <c r="A2" s="1">
        <v>1400101</v>
      </c>
      <c r="B2" s="2" t="s">
        <v>4</v>
      </c>
      <c r="C2" s="2">
        <v>1</v>
      </c>
      <c r="D2" s="2">
        <v>14430</v>
      </c>
      <c r="E2" s="9">
        <v>4088</v>
      </c>
      <c r="F2" s="7" t="s">
        <v>86</v>
      </c>
      <c r="G2" s="5" t="s">
        <v>87</v>
      </c>
      <c r="H2" s="5" t="s">
        <v>88</v>
      </c>
      <c r="I2" s="5" t="s">
        <v>89</v>
      </c>
      <c r="J2">
        <v>38.029434000000002</v>
      </c>
      <c r="K2">
        <v>-4.5209840000000003</v>
      </c>
    </row>
    <row r="3" spans="1:11" ht="29.4" thickBot="1" x14ac:dyDescent="0.35">
      <c r="A3" s="1">
        <v>1400201</v>
      </c>
      <c r="B3" s="2" t="s">
        <v>5</v>
      </c>
      <c r="C3" s="2">
        <v>1</v>
      </c>
      <c r="D3" s="2">
        <v>14520</v>
      </c>
      <c r="E3" s="9">
        <v>2982</v>
      </c>
      <c r="F3" s="7" t="s">
        <v>90</v>
      </c>
      <c r="G3" s="5" t="s">
        <v>91</v>
      </c>
      <c r="H3" s="5" t="s">
        <v>92</v>
      </c>
      <c r="I3" s="5" t="s">
        <v>93</v>
      </c>
      <c r="J3">
        <v>37.518050000000002</v>
      </c>
      <c r="K3">
        <v>-4.6601610000000004</v>
      </c>
    </row>
    <row r="4" spans="1:11" ht="29.4" thickBot="1" x14ac:dyDescent="0.35">
      <c r="A4" s="1">
        <v>1400202</v>
      </c>
      <c r="B4" s="2" t="s">
        <v>5</v>
      </c>
      <c r="C4" s="2">
        <v>2</v>
      </c>
      <c r="D4" s="2">
        <v>14520</v>
      </c>
      <c r="E4" s="9">
        <v>3979</v>
      </c>
      <c r="F4" s="7" t="s">
        <v>94</v>
      </c>
      <c r="G4" s="5" t="s">
        <v>95</v>
      </c>
      <c r="H4" s="5" t="s">
        <v>96</v>
      </c>
      <c r="I4" s="5" t="s">
        <v>89</v>
      </c>
      <c r="J4">
        <v>37.528205999999997</v>
      </c>
      <c r="K4">
        <v>-4.6679000000000004</v>
      </c>
    </row>
    <row r="5" spans="1:11" ht="29.4" thickBot="1" x14ac:dyDescent="0.35">
      <c r="A5" s="1">
        <v>1400203</v>
      </c>
      <c r="B5" s="2" t="s">
        <v>5</v>
      </c>
      <c r="C5" s="2">
        <v>3</v>
      </c>
      <c r="D5" s="2">
        <v>14520</v>
      </c>
      <c r="E5" s="9">
        <v>6136</v>
      </c>
      <c r="F5" s="7" t="s">
        <v>86</v>
      </c>
      <c r="G5" s="5" t="s">
        <v>97</v>
      </c>
      <c r="H5" s="5" t="s">
        <v>95</v>
      </c>
      <c r="I5" s="5" t="s">
        <v>98</v>
      </c>
      <c r="J5">
        <v>37.447969999999998</v>
      </c>
      <c r="K5">
        <v>-4.693816</v>
      </c>
    </row>
    <row r="6" spans="1:11" ht="15" thickBot="1" x14ac:dyDescent="0.35">
      <c r="A6" s="1">
        <v>1400301</v>
      </c>
      <c r="B6" s="2" t="s">
        <v>6</v>
      </c>
      <c r="C6" s="2">
        <v>1</v>
      </c>
      <c r="D6" s="2">
        <v>14480</v>
      </c>
      <c r="E6" s="9">
        <v>1422</v>
      </c>
      <c r="F6" s="7" t="s">
        <v>99</v>
      </c>
      <c r="G6" s="5" t="s">
        <v>100</v>
      </c>
      <c r="H6" s="5" t="s">
        <v>101</v>
      </c>
      <c r="I6" s="5" t="s">
        <v>102</v>
      </c>
      <c r="J6">
        <v>38.293909999999997</v>
      </c>
      <c r="K6">
        <v>-4.9359099999999998</v>
      </c>
    </row>
    <row r="7" spans="1:11" ht="15" thickBot="1" x14ac:dyDescent="0.35">
      <c r="A7" s="1">
        <v>1400401</v>
      </c>
      <c r="B7" s="2" t="s">
        <v>7</v>
      </c>
      <c r="C7" s="2">
        <v>1</v>
      </c>
      <c r="D7" s="2">
        <v>14812</v>
      </c>
      <c r="E7" s="9">
        <v>1530</v>
      </c>
      <c r="F7" s="7" t="s">
        <v>94</v>
      </c>
      <c r="G7" s="5" t="s">
        <v>103</v>
      </c>
      <c r="H7" s="5" t="s">
        <v>104</v>
      </c>
      <c r="I7" s="5" t="s">
        <v>89</v>
      </c>
      <c r="J7">
        <v>37.440367000000002</v>
      </c>
      <c r="K7">
        <v>-4.089588</v>
      </c>
    </row>
    <row r="8" spans="1:11" ht="15" thickBot="1" x14ac:dyDescent="0.35">
      <c r="A8" s="1">
        <v>1400402</v>
      </c>
      <c r="B8" s="2" t="s">
        <v>7</v>
      </c>
      <c r="C8" s="2">
        <v>2</v>
      </c>
      <c r="D8" s="2">
        <v>14812</v>
      </c>
      <c r="E8" s="9">
        <v>795</v>
      </c>
      <c r="F8" s="7" t="s">
        <v>94</v>
      </c>
      <c r="G8" s="5" t="s">
        <v>105</v>
      </c>
      <c r="H8" s="5" t="s">
        <v>106</v>
      </c>
      <c r="I8" s="5" t="s">
        <v>107</v>
      </c>
      <c r="J8">
        <v>37.435676999999998</v>
      </c>
      <c r="K8">
        <v>-4.0668810000000004</v>
      </c>
    </row>
    <row r="9" spans="1:11" ht="15" thickBot="1" x14ac:dyDescent="0.35">
      <c r="A9" s="1">
        <v>1400501</v>
      </c>
      <c r="B9" s="2" t="s">
        <v>8</v>
      </c>
      <c r="C9" s="2">
        <v>1</v>
      </c>
      <c r="D9" s="2">
        <v>14720</v>
      </c>
      <c r="E9" s="9">
        <v>7958</v>
      </c>
      <c r="F9" s="7" t="s">
        <v>86</v>
      </c>
      <c r="G9" s="5" t="s">
        <v>108</v>
      </c>
      <c r="H9" s="5" t="s">
        <v>109</v>
      </c>
      <c r="I9" s="5" t="s">
        <v>98</v>
      </c>
      <c r="J9">
        <v>37.810850000000002</v>
      </c>
      <c r="K9">
        <v>-5.0158250000000004</v>
      </c>
    </row>
    <row r="10" spans="1:11" ht="15" thickBot="1" x14ac:dyDescent="0.35">
      <c r="A10" s="1">
        <v>1400601</v>
      </c>
      <c r="B10" s="2" t="s">
        <v>9</v>
      </c>
      <c r="C10" s="2">
        <v>1</v>
      </c>
      <c r="D10" s="2">
        <v>14450</v>
      </c>
      <c r="E10" s="9">
        <v>1466</v>
      </c>
      <c r="F10" s="7" t="s">
        <v>110</v>
      </c>
      <c r="G10" s="5" t="s">
        <v>111</v>
      </c>
      <c r="H10" s="5" t="s">
        <v>112</v>
      </c>
      <c r="I10" s="5" t="s">
        <v>93</v>
      </c>
      <c r="J10">
        <v>38.323551999999999</v>
      </c>
      <c r="K10">
        <v>-4.8672510000000004</v>
      </c>
    </row>
    <row r="11" spans="1:11" ht="15" thickBot="1" x14ac:dyDescent="0.35">
      <c r="A11" s="1">
        <v>1400701</v>
      </c>
      <c r="B11" s="2" t="s">
        <v>10</v>
      </c>
      <c r="C11" s="2">
        <v>1</v>
      </c>
      <c r="D11" s="2">
        <v>14850</v>
      </c>
      <c r="E11" s="9">
        <v>3787</v>
      </c>
      <c r="F11" s="7" t="s">
        <v>86</v>
      </c>
      <c r="G11" s="5" t="s">
        <v>113</v>
      </c>
      <c r="H11" s="5" t="s">
        <v>114</v>
      </c>
      <c r="I11" s="5" t="s">
        <v>98</v>
      </c>
      <c r="J11">
        <v>37.615324000000001</v>
      </c>
      <c r="K11">
        <v>-4.3259160000000003</v>
      </c>
    </row>
    <row r="12" spans="1:11" ht="15" thickBot="1" x14ac:dyDescent="0.35">
      <c r="A12" s="1">
        <v>1400702</v>
      </c>
      <c r="B12" s="2" t="s">
        <v>10</v>
      </c>
      <c r="C12" s="2">
        <v>2</v>
      </c>
      <c r="D12" s="2">
        <v>14850</v>
      </c>
      <c r="E12" s="9">
        <v>1469</v>
      </c>
      <c r="F12" s="7" t="s">
        <v>115</v>
      </c>
      <c r="G12" s="5" t="s">
        <v>116</v>
      </c>
      <c r="H12" s="5" t="s">
        <v>104</v>
      </c>
      <c r="I12" s="5" t="s">
        <v>89</v>
      </c>
      <c r="J12">
        <v>37.615301000000002</v>
      </c>
      <c r="K12">
        <v>-4.3316129999999999</v>
      </c>
    </row>
    <row r="13" spans="1:11" ht="15" thickBot="1" x14ac:dyDescent="0.35">
      <c r="A13" s="1">
        <v>1400703</v>
      </c>
      <c r="B13" s="2" t="s">
        <v>10</v>
      </c>
      <c r="C13" s="2">
        <v>3</v>
      </c>
      <c r="D13" s="2">
        <v>14850</v>
      </c>
      <c r="E13" s="9">
        <v>10096</v>
      </c>
      <c r="F13" s="7" t="s">
        <v>90</v>
      </c>
      <c r="G13" s="5" t="s">
        <v>117</v>
      </c>
      <c r="H13" s="5" t="s">
        <v>118</v>
      </c>
      <c r="I13" s="5" t="s">
        <v>98</v>
      </c>
      <c r="J13">
        <v>37.618161000000001</v>
      </c>
      <c r="K13">
        <v>-4.323029</v>
      </c>
    </row>
    <row r="14" spans="1:11" ht="15" thickBot="1" x14ac:dyDescent="0.35">
      <c r="A14" s="1">
        <v>1400704</v>
      </c>
      <c r="B14" s="2" t="s">
        <v>10</v>
      </c>
      <c r="C14" s="2">
        <v>4</v>
      </c>
      <c r="D14" s="2">
        <v>14850</v>
      </c>
      <c r="E14" s="9">
        <v>1729</v>
      </c>
      <c r="F14" s="7" t="s">
        <v>119</v>
      </c>
      <c r="G14" s="5" t="s">
        <v>120</v>
      </c>
      <c r="H14" s="5" t="s">
        <v>91</v>
      </c>
      <c r="I14" s="5" t="s">
        <v>89</v>
      </c>
      <c r="J14">
        <v>37.612726000000002</v>
      </c>
      <c r="K14">
        <v>-4.328506</v>
      </c>
    </row>
    <row r="15" spans="1:11" ht="15" thickBot="1" x14ac:dyDescent="0.35">
      <c r="A15" s="1">
        <v>1400705</v>
      </c>
      <c r="B15" s="2" t="s">
        <v>10</v>
      </c>
      <c r="C15" s="2">
        <v>5</v>
      </c>
      <c r="D15" s="2">
        <v>14850</v>
      </c>
      <c r="E15" s="9">
        <v>1058</v>
      </c>
      <c r="F15" s="7" t="s">
        <v>94</v>
      </c>
      <c r="G15" s="5" t="s">
        <v>121</v>
      </c>
      <c r="H15" s="5" t="s">
        <v>122</v>
      </c>
      <c r="I15" s="5" t="s">
        <v>102</v>
      </c>
      <c r="J15">
        <v>37.670001999999997</v>
      </c>
      <c r="K15">
        <v>-4.2376870000000002</v>
      </c>
    </row>
    <row r="16" spans="1:11" ht="15" thickBot="1" x14ac:dyDescent="0.35">
      <c r="A16" s="1">
        <v>1400801</v>
      </c>
      <c r="B16" s="2" t="s">
        <v>11</v>
      </c>
      <c r="C16" s="2">
        <v>1</v>
      </c>
      <c r="D16" s="2">
        <v>14280</v>
      </c>
      <c r="E16" s="9">
        <v>611</v>
      </c>
      <c r="F16" s="7" t="s">
        <v>115</v>
      </c>
      <c r="G16" s="5" t="s">
        <v>123</v>
      </c>
      <c r="H16" s="5" t="s">
        <v>124</v>
      </c>
      <c r="I16" s="5" t="s">
        <v>93</v>
      </c>
      <c r="J16">
        <v>38.578968000000003</v>
      </c>
      <c r="K16">
        <v>-5.1708280000000002</v>
      </c>
    </row>
    <row r="17" spans="1:11" ht="15" thickBot="1" x14ac:dyDescent="0.35">
      <c r="A17" s="1">
        <v>1400802</v>
      </c>
      <c r="B17" s="2" t="s">
        <v>11</v>
      </c>
      <c r="C17" s="2">
        <v>2</v>
      </c>
      <c r="D17" s="2">
        <v>14280</v>
      </c>
      <c r="E17" s="9">
        <v>792</v>
      </c>
      <c r="F17" s="7" t="s">
        <v>94</v>
      </c>
      <c r="G17" s="5" t="s">
        <v>125</v>
      </c>
      <c r="H17" s="5" t="s">
        <v>126</v>
      </c>
      <c r="I17" s="5" t="s">
        <v>93</v>
      </c>
      <c r="J17">
        <v>38.576594999999998</v>
      </c>
      <c r="K17">
        <v>-5.1635929999999997</v>
      </c>
    </row>
    <row r="18" spans="1:11" ht="15" thickBot="1" x14ac:dyDescent="0.35">
      <c r="A18" s="1">
        <v>1400803</v>
      </c>
      <c r="B18" s="2" t="s">
        <v>11</v>
      </c>
      <c r="C18" s="2">
        <v>3</v>
      </c>
      <c r="D18" s="2">
        <v>14280</v>
      </c>
      <c r="E18" s="9">
        <v>675</v>
      </c>
      <c r="F18" s="7" t="s">
        <v>86</v>
      </c>
      <c r="G18" s="5" t="s">
        <v>91</v>
      </c>
      <c r="H18" s="5" t="s">
        <v>127</v>
      </c>
      <c r="I18" s="5" t="s">
        <v>93</v>
      </c>
      <c r="J18">
        <v>38.591397999999998</v>
      </c>
      <c r="K18">
        <v>-5.1487309999999997</v>
      </c>
    </row>
    <row r="19" spans="1:11" ht="15" thickBot="1" x14ac:dyDescent="0.35">
      <c r="A19" s="1">
        <v>1400804</v>
      </c>
      <c r="B19" s="2" t="s">
        <v>11</v>
      </c>
      <c r="C19" s="2">
        <v>4</v>
      </c>
      <c r="D19" s="2">
        <v>14280</v>
      </c>
      <c r="E19" s="9">
        <v>969</v>
      </c>
      <c r="F19" s="7" t="s">
        <v>86</v>
      </c>
      <c r="G19" s="5" t="s">
        <v>128</v>
      </c>
      <c r="H19" s="5" t="s">
        <v>129</v>
      </c>
      <c r="I19" s="5" t="s">
        <v>89</v>
      </c>
      <c r="J19">
        <v>38.574817000000003</v>
      </c>
      <c r="K19">
        <v>-5.1695010000000003</v>
      </c>
    </row>
    <row r="20" spans="1:11" ht="15" thickBot="1" x14ac:dyDescent="0.35">
      <c r="A20" s="1">
        <v>1400901</v>
      </c>
      <c r="B20" s="2" t="s">
        <v>12</v>
      </c>
      <c r="C20" s="2">
        <v>1</v>
      </c>
      <c r="D20" s="2">
        <v>14240</v>
      </c>
      <c r="E20" s="9">
        <v>1209</v>
      </c>
      <c r="F20" s="7" t="s">
        <v>130</v>
      </c>
      <c r="G20" s="5" t="s">
        <v>131</v>
      </c>
      <c r="H20" s="5" t="s">
        <v>132</v>
      </c>
      <c r="I20" s="5" t="s">
        <v>93</v>
      </c>
      <c r="J20">
        <v>38.270890999999999</v>
      </c>
      <c r="K20">
        <v>-5.2104369999999998</v>
      </c>
    </row>
    <row r="21" spans="1:11" ht="15" thickBot="1" x14ac:dyDescent="0.35">
      <c r="A21" s="1">
        <v>1400902</v>
      </c>
      <c r="B21" s="2" t="s">
        <v>12</v>
      </c>
      <c r="C21" s="2">
        <v>2</v>
      </c>
      <c r="D21" s="2">
        <v>14240</v>
      </c>
      <c r="E21" s="9">
        <v>730</v>
      </c>
      <c r="F21" s="7" t="s">
        <v>133</v>
      </c>
      <c r="G21" s="5" t="s">
        <v>134</v>
      </c>
      <c r="H21" s="5" t="s">
        <v>135</v>
      </c>
      <c r="I21" s="5" t="s">
        <v>89</v>
      </c>
      <c r="J21">
        <v>38.272323</v>
      </c>
      <c r="K21">
        <v>-5.2071719999999999</v>
      </c>
    </row>
    <row r="22" spans="1:11" ht="15" thickBot="1" x14ac:dyDescent="0.35">
      <c r="A22" s="1">
        <v>1400903</v>
      </c>
      <c r="B22" s="2" t="s">
        <v>12</v>
      </c>
      <c r="C22" s="2">
        <v>3</v>
      </c>
      <c r="D22" s="2">
        <v>14240</v>
      </c>
      <c r="E22" s="9">
        <v>865</v>
      </c>
      <c r="F22" s="7" t="s">
        <v>90</v>
      </c>
      <c r="G22" s="5" t="s">
        <v>136</v>
      </c>
      <c r="H22" s="5" t="s">
        <v>137</v>
      </c>
      <c r="I22" s="5" t="s">
        <v>93</v>
      </c>
      <c r="J22">
        <v>38.265571999999999</v>
      </c>
      <c r="K22">
        <v>-5.1839820000000003</v>
      </c>
    </row>
    <row r="23" spans="1:11" ht="15" thickBot="1" x14ac:dyDescent="0.35">
      <c r="A23" s="1">
        <v>1401001</v>
      </c>
      <c r="B23" s="2" t="s">
        <v>13</v>
      </c>
      <c r="C23" s="2">
        <v>1</v>
      </c>
      <c r="D23" s="2">
        <v>14910</v>
      </c>
      <c r="E23" s="9">
        <v>1412</v>
      </c>
      <c r="F23" s="7" t="s">
        <v>86</v>
      </c>
      <c r="G23" s="5" t="s">
        <v>138</v>
      </c>
      <c r="H23" s="5" t="s">
        <v>139</v>
      </c>
      <c r="I23" s="5" t="s">
        <v>93</v>
      </c>
      <c r="J23">
        <v>37.268428999999998</v>
      </c>
      <c r="K23">
        <v>-4.5453400000000004</v>
      </c>
    </row>
    <row r="24" spans="1:11" ht="15" thickBot="1" x14ac:dyDescent="0.35">
      <c r="A24" s="1">
        <v>1401002</v>
      </c>
      <c r="B24" s="2" t="s">
        <v>13</v>
      </c>
      <c r="C24" s="2">
        <v>2</v>
      </c>
      <c r="D24" s="2">
        <v>14910</v>
      </c>
      <c r="E24" s="9">
        <v>2336</v>
      </c>
      <c r="F24" s="7" t="s">
        <v>94</v>
      </c>
      <c r="G24" s="5" t="s">
        <v>140</v>
      </c>
      <c r="H24" s="5" t="s">
        <v>113</v>
      </c>
      <c r="I24" s="5" t="s">
        <v>89</v>
      </c>
      <c r="J24">
        <v>37.268991999999997</v>
      </c>
      <c r="K24">
        <v>-4.5404650000000002</v>
      </c>
    </row>
    <row r="25" spans="1:11" ht="15" thickBot="1" x14ac:dyDescent="0.35">
      <c r="A25" s="1">
        <v>1401003</v>
      </c>
      <c r="B25" s="2" t="s">
        <v>13</v>
      </c>
      <c r="C25" s="2">
        <v>3</v>
      </c>
      <c r="D25" s="2">
        <v>14910</v>
      </c>
      <c r="E25" s="9">
        <v>1136</v>
      </c>
      <c r="F25" s="7" t="s">
        <v>94</v>
      </c>
      <c r="G25" s="5" t="s">
        <v>141</v>
      </c>
      <c r="H25" s="5" t="s">
        <v>103</v>
      </c>
      <c r="I25" s="5" t="s">
        <v>89</v>
      </c>
      <c r="J25">
        <v>37.247439</v>
      </c>
      <c r="K25">
        <v>-4.5421649999999998</v>
      </c>
    </row>
    <row r="26" spans="1:11" ht="15" thickBot="1" x14ac:dyDescent="0.35">
      <c r="A26" s="1">
        <v>1401101</v>
      </c>
      <c r="B26" s="2" t="s">
        <v>14</v>
      </c>
      <c r="C26" s="2">
        <v>1</v>
      </c>
      <c r="D26" s="2">
        <v>14208</v>
      </c>
      <c r="E26" s="9">
        <v>635</v>
      </c>
      <c r="F26" s="7" t="s">
        <v>115</v>
      </c>
      <c r="G26" s="5" t="s">
        <v>142</v>
      </c>
      <c r="H26" s="5" t="s">
        <v>143</v>
      </c>
      <c r="I26" s="5" t="s">
        <v>107</v>
      </c>
      <c r="J26">
        <v>38.424660000000003</v>
      </c>
      <c r="K26">
        <v>-5.4540439999999997</v>
      </c>
    </row>
    <row r="27" spans="1:11" ht="15" thickBot="1" x14ac:dyDescent="0.35">
      <c r="A27" s="1">
        <v>1401201</v>
      </c>
      <c r="B27" s="2" t="s">
        <v>15</v>
      </c>
      <c r="C27" s="2">
        <v>1</v>
      </c>
      <c r="D27" s="2">
        <v>14650</v>
      </c>
      <c r="E27" s="9">
        <v>1942</v>
      </c>
      <c r="F27" s="7" t="s">
        <v>90</v>
      </c>
      <c r="G27" s="5" t="s">
        <v>144</v>
      </c>
      <c r="H27" s="5" t="s">
        <v>112</v>
      </c>
      <c r="I27" s="5" t="s">
        <v>89</v>
      </c>
      <c r="J27">
        <v>37.899588000000001</v>
      </c>
      <c r="K27">
        <v>-4.3820480000000002</v>
      </c>
    </row>
    <row r="28" spans="1:11" ht="15" thickBot="1" x14ac:dyDescent="0.35">
      <c r="A28" s="1">
        <v>1401202</v>
      </c>
      <c r="B28" s="2" t="s">
        <v>15</v>
      </c>
      <c r="C28" s="2">
        <v>2</v>
      </c>
      <c r="D28" s="2">
        <v>14650</v>
      </c>
      <c r="E28" s="9">
        <v>1533</v>
      </c>
      <c r="F28" s="7" t="s">
        <v>133</v>
      </c>
      <c r="G28" s="5" t="s">
        <v>140</v>
      </c>
      <c r="H28" s="5" t="s">
        <v>145</v>
      </c>
      <c r="I28" s="5" t="s">
        <v>98</v>
      </c>
      <c r="J28">
        <v>37.894025999999997</v>
      </c>
      <c r="K28">
        <v>-4.3744230000000002</v>
      </c>
    </row>
    <row r="29" spans="1:11" ht="15" thickBot="1" x14ac:dyDescent="0.35">
      <c r="A29" s="1">
        <v>1401203</v>
      </c>
      <c r="B29" s="2" t="s">
        <v>15</v>
      </c>
      <c r="C29" s="2">
        <v>3</v>
      </c>
      <c r="D29" s="2">
        <v>14650</v>
      </c>
      <c r="E29" s="9">
        <v>1781</v>
      </c>
      <c r="F29" s="7" t="s">
        <v>86</v>
      </c>
      <c r="G29" s="5" t="s">
        <v>120</v>
      </c>
      <c r="H29" s="5" t="s">
        <v>146</v>
      </c>
      <c r="I29" s="5" t="s">
        <v>98</v>
      </c>
      <c r="J29">
        <v>37.889890999999999</v>
      </c>
      <c r="K29">
        <v>-4.4192299999999998</v>
      </c>
    </row>
    <row r="30" spans="1:11" ht="15" thickBot="1" x14ac:dyDescent="0.35">
      <c r="A30" s="1">
        <v>1401204</v>
      </c>
      <c r="B30" s="2" t="s">
        <v>15</v>
      </c>
      <c r="C30" s="2">
        <v>4</v>
      </c>
      <c r="D30" s="2">
        <v>14650</v>
      </c>
      <c r="E30" s="9">
        <v>1786</v>
      </c>
      <c r="F30" s="7" t="s">
        <v>115</v>
      </c>
      <c r="G30" s="5" t="s">
        <v>147</v>
      </c>
      <c r="H30" s="5" t="s">
        <v>148</v>
      </c>
      <c r="I30" s="5" t="s">
        <v>89</v>
      </c>
      <c r="J30">
        <v>37.895238999999997</v>
      </c>
      <c r="K30">
        <v>-4.385726</v>
      </c>
    </row>
    <row r="31" spans="1:11" ht="15" thickBot="1" x14ac:dyDescent="0.35">
      <c r="A31" s="1">
        <v>1401301</v>
      </c>
      <c r="B31" s="2" t="s">
        <v>16</v>
      </c>
      <c r="C31" s="2">
        <v>1</v>
      </c>
      <c r="D31" s="2">
        <v>14940</v>
      </c>
      <c r="E31" s="9">
        <v>9820</v>
      </c>
      <c r="F31" s="7" t="s">
        <v>133</v>
      </c>
      <c r="G31" s="5" t="s">
        <v>149</v>
      </c>
      <c r="H31" s="5" t="s">
        <v>150</v>
      </c>
      <c r="I31" s="5" t="s">
        <v>98</v>
      </c>
      <c r="J31">
        <v>37.474178999999999</v>
      </c>
      <c r="K31">
        <v>-4.4409520000000002</v>
      </c>
    </row>
    <row r="32" spans="1:11" ht="15" thickBot="1" x14ac:dyDescent="0.35">
      <c r="A32" s="1">
        <v>1401302</v>
      </c>
      <c r="B32" s="2" t="s">
        <v>16</v>
      </c>
      <c r="C32" s="2">
        <v>2</v>
      </c>
      <c r="D32" s="2">
        <v>14940</v>
      </c>
      <c r="E32" s="9">
        <v>4007</v>
      </c>
      <c r="F32" s="7" t="s">
        <v>99</v>
      </c>
      <c r="G32" s="5" t="s">
        <v>151</v>
      </c>
      <c r="H32" s="5" t="s">
        <v>152</v>
      </c>
      <c r="I32" s="5" t="s">
        <v>89</v>
      </c>
      <c r="J32">
        <v>37.471158000000003</v>
      </c>
      <c r="K32">
        <v>-4.4423110000000001</v>
      </c>
    </row>
    <row r="33" spans="1:11" ht="15" thickBot="1" x14ac:dyDescent="0.35">
      <c r="A33" s="1">
        <v>1401303</v>
      </c>
      <c r="B33" s="2" t="s">
        <v>16</v>
      </c>
      <c r="C33" s="2">
        <v>3</v>
      </c>
      <c r="D33" s="2">
        <v>14940</v>
      </c>
      <c r="E33" s="9">
        <v>4363</v>
      </c>
      <c r="F33" s="7" t="s">
        <v>90</v>
      </c>
      <c r="G33" s="5" t="s">
        <v>153</v>
      </c>
      <c r="H33" s="5" t="s">
        <v>154</v>
      </c>
      <c r="I33" s="5" t="s">
        <v>89</v>
      </c>
      <c r="J33">
        <v>37.473252000000002</v>
      </c>
      <c r="K33">
        <v>-4.4448850000000002</v>
      </c>
    </row>
    <row r="34" spans="1:11" ht="15" thickBot="1" x14ac:dyDescent="0.35">
      <c r="A34" s="1">
        <v>1401304</v>
      </c>
      <c r="B34" s="2" t="s">
        <v>16</v>
      </c>
      <c r="C34" s="2">
        <v>4</v>
      </c>
      <c r="D34" s="2">
        <v>14940</v>
      </c>
      <c r="E34" s="9">
        <v>1679</v>
      </c>
      <c r="F34" s="7" t="s">
        <v>90</v>
      </c>
      <c r="G34" s="5" t="s">
        <v>113</v>
      </c>
      <c r="H34" s="5" t="s">
        <v>109</v>
      </c>
      <c r="I34" s="5" t="s">
        <v>89</v>
      </c>
      <c r="J34">
        <v>37.490012</v>
      </c>
      <c r="K34">
        <v>-4.4502240000000004</v>
      </c>
    </row>
    <row r="35" spans="1:11" ht="15" thickBot="1" x14ac:dyDescent="0.35">
      <c r="A35" s="1">
        <v>1401401</v>
      </c>
      <c r="B35" s="2" t="s">
        <v>17</v>
      </c>
      <c r="C35" s="2">
        <v>1</v>
      </c>
      <c r="D35" s="2">
        <v>14660</v>
      </c>
      <c r="E35" s="9">
        <v>1337</v>
      </c>
      <c r="F35" s="7" t="s">
        <v>90</v>
      </c>
      <c r="G35" s="5" t="s">
        <v>91</v>
      </c>
      <c r="H35" s="5" t="s">
        <v>155</v>
      </c>
      <c r="I35" s="5" t="s">
        <v>93</v>
      </c>
      <c r="J35">
        <v>37.894385999999997</v>
      </c>
      <c r="K35">
        <v>-4.3058699999999996</v>
      </c>
    </row>
    <row r="36" spans="1:11" ht="15" thickBot="1" x14ac:dyDescent="0.35">
      <c r="A36" s="1">
        <v>1401402</v>
      </c>
      <c r="B36" s="2" t="s">
        <v>17</v>
      </c>
      <c r="C36" s="2">
        <v>2</v>
      </c>
      <c r="D36" s="2">
        <v>14660</v>
      </c>
      <c r="E36" s="9">
        <v>1460</v>
      </c>
      <c r="F36" s="7" t="s">
        <v>86</v>
      </c>
      <c r="G36" s="5" t="s">
        <v>156</v>
      </c>
      <c r="H36" s="5" t="s">
        <v>92</v>
      </c>
      <c r="I36" s="5" t="s">
        <v>93</v>
      </c>
      <c r="J36">
        <v>37.826290999999998</v>
      </c>
      <c r="K36">
        <v>-4.33955</v>
      </c>
    </row>
    <row r="37" spans="1:11" ht="15" thickBot="1" x14ac:dyDescent="0.35">
      <c r="A37" s="1">
        <v>1401501</v>
      </c>
      <c r="B37" s="2" t="s">
        <v>18</v>
      </c>
      <c r="C37" s="2">
        <v>1</v>
      </c>
      <c r="D37" s="2">
        <v>14810</v>
      </c>
      <c r="E37" s="9">
        <v>2308</v>
      </c>
      <c r="F37" s="7" t="s">
        <v>86</v>
      </c>
      <c r="G37" s="5" t="s">
        <v>157</v>
      </c>
      <c r="H37" s="5" t="s">
        <v>101</v>
      </c>
      <c r="I37" s="5" t="s">
        <v>102</v>
      </c>
      <c r="J37">
        <v>37.467903</v>
      </c>
      <c r="K37">
        <v>-4.2967040000000001</v>
      </c>
    </row>
    <row r="38" spans="1:11" ht="15" thickBot="1" x14ac:dyDescent="0.35">
      <c r="A38" s="1">
        <v>1401601</v>
      </c>
      <c r="B38" s="2" t="s">
        <v>19</v>
      </c>
      <c r="C38" s="2">
        <v>1</v>
      </c>
      <c r="D38" s="2">
        <v>14445</v>
      </c>
      <c r="E38" s="9">
        <v>1425</v>
      </c>
      <c r="F38" s="7" t="s">
        <v>90</v>
      </c>
      <c r="G38" s="5" t="s">
        <v>158</v>
      </c>
      <c r="H38" s="5" t="s">
        <v>126</v>
      </c>
      <c r="I38" s="5" t="s">
        <v>102</v>
      </c>
      <c r="J38">
        <v>38.314208000000001</v>
      </c>
      <c r="K38">
        <v>-4.3230019999999998</v>
      </c>
    </row>
    <row r="39" spans="1:11" ht="15" thickBot="1" x14ac:dyDescent="0.35">
      <c r="A39" s="1">
        <v>1401701</v>
      </c>
      <c r="B39" s="2" t="s">
        <v>20</v>
      </c>
      <c r="C39" s="2">
        <v>1</v>
      </c>
      <c r="D39" s="2">
        <v>14100</v>
      </c>
      <c r="E39" s="9">
        <v>10102</v>
      </c>
      <c r="F39" s="7" t="s">
        <v>90</v>
      </c>
      <c r="G39" s="5" t="s">
        <v>159</v>
      </c>
      <c r="H39" s="5" t="s">
        <v>160</v>
      </c>
      <c r="I39" s="5" t="s">
        <v>161</v>
      </c>
      <c r="J39">
        <v>37.671143999999998</v>
      </c>
      <c r="K39">
        <v>-4.9322559999999998</v>
      </c>
    </row>
    <row r="40" spans="1:11" ht="15" thickBot="1" x14ac:dyDescent="0.35">
      <c r="A40" s="1">
        <v>1401702</v>
      </c>
      <c r="B40" s="2" t="s">
        <v>20</v>
      </c>
      <c r="C40" s="2">
        <v>2</v>
      </c>
      <c r="D40" s="2">
        <v>14100</v>
      </c>
      <c r="E40" s="9">
        <v>2711</v>
      </c>
      <c r="F40" s="7" t="s">
        <v>86</v>
      </c>
      <c r="G40" s="5" t="s">
        <v>95</v>
      </c>
      <c r="H40" s="5" t="s">
        <v>162</v>
      </c>
      <c r="I40" s="5" t="s">
        <v>89</v>
      </c>
      <c r="J40">
        <v>37.641015000000003</v>
      </c>
      <c r="K40">
        <v>-4.9355630000000001</v>
      </c>
    </row>
    <row r="41" spans="1:11" ht="15" thickBot="1" x14ac:dyDescent="0.35">
      <c r="A41" s="1">
        <v>1401703</v>
      </c>
      <c r="B41" s="2" t="s">
        <v>20</v>
      </c>
      <c r="C41" s="2">
        <v>3</v>
      </c>
      <c r="D41" s="2">
        <v>14100</v>
      </c>
      <c r="E41" s="9">
        <v>1513</v>
      </c>
      <c r="F41" s="7" t="s">
        <v>90</v>
      </c>
      <c r="G41" s="5" t="s">
        <v>108</v>
      </c>
      <c r="H41" s="5" t="s">
        <v>162</v>
      </c>
      <c r="I41" s="5" t="s">
        <v>89</v>
      </c>
      <c r="J41">
        <v>37.694293999999999</v>
      </c>
      <c r="K41">
        <v>-4.9581600000000003</v>
      </c>
    </row>
    <row r="42" spans="1:11" ht="15" thickBot="1" x14ac:dyDescent="0.35">
      <c r="A42" s="1">
        <v>1401801</v>
      </c>
      <c r="B42" s="2" t="s">
        <v>21</v>
      </c>
      <c r="C42" s="2">
        <v>1</v>
      </c>
      <c r="D42" s="2">
        <v>14620</v>
      </c>
      <c r="E42" s="9">
        <v>1257</v>
      </c>
      <c r="F42" s="7" t="s">
        <v>99</v>
      </c>
      <c r="G42" s="5" t="s">
        <v>121</v>
      </c>
      <c r="H42" s="5" t="s">
        <v>127</v>
      </c>
      <c r="I42" s="5" t="s">
        <v>89</v>
      </c>
      <c r="J42">
        <v>37.939906999999998</v>
      </c>
      <c r="K42">
        <v>-4.4989049999999997</v>
      </c>
    </row>
    <row r="43" spans="1:11" ht="15" thickBot="1" x14ac:dyDescent="0.35">
      <c r="A43" s="1">
        <v>1401802</v>
      </c>
      <c r="B43" s="2" t="s">
        <v>21</v>
      </c>
      <c r="C43" s="2">
        <v>2</v>
      </c>
      <c r="D43" s="2">
        <v>14620</v>
      </c>
      <c r="E43" s="9">
        <v>3066</v>
      </c>
      <c r="F43" s="7" t="s">
        <v>163</v>
      </c>
      <c r="G43" s="5" t="s">
        <v>164</v>
      </c>
      <c r="H43" s="5" t="s">
        <v>104</v>
      </c>
      <c r="I43" s="5" t="s">
        <v>98</v>
      </c>
      <c r="J43">
        <v>37.945022000000002</v>
      </c>
      <c r="K43">
        <v>-4.4969650000000003</v>
      </c>
    </row>
    <row r="44" spans="1:11" ht="15" thickBot="1" x14ac:dyDescent="0.35">
      <c r="A44" s="1">
        <v>1401901</v>
      </c>
      <c r="B44" s="2" t="s">
        <v>22</v>
      </c>
      <c r="C44" s="2">
        <v>1</v>
      </c>
      <c r="D44" s="2">
        <v>14840</v>
      </c>
      <c r="E44" s="9">
        <v>1158</v>
      </c>
      <c r="F44" s="7" t="s">
        <v>90</v>
      </c>
      <c r="G44" s="5" t="s">
        <v>131</v>
      </c>
      <c r="H44" s="5" t="s">
        <v>165</v>
      </c>
      <c r="I44" s="5" t="s">
        <v>89</v>
      </c>
      <c r="J44">
        <v>37.688597000000001</v>
      </c>
      <c r="K44">
        <v>-4.4847780000000004</v>
      </c>
    </row>
    <row r="45" spans="1:11" ht="15" thickBot="1" x14ac:dyDescent="0.35">
      <c r="A45" s="1">
        <v>1401902</v>
      </c>
      <c r="B45" s="2" t="s">
        <v>22</v>
      </c>
      <c r="C45" s="2">
        <v>2</v>
      </c>
      <c r="D45" s="2">
        <v>14840</v>
      </c>
      <c r="E45" s="9">
        <v>1909</v>
      </c>
      <c r="F45" s="7" t="s">
        <v>86</v>
      </c>
      <c r="G45" s="5" t="s">
        <v>166</v>
      </c>
      <c r="H45" s="5" t="s">
        <v>167</v>
      </c>
      <c r="I45" s="5" t="s">
        <v>161</v>
      </c>
      <c r="J45">
        <v>37.694085999999999</v>
      </c>
      <c r="K45">
        <v>-4.4812219999999998</v>
      </c>
    </row>
    <row r="46" spans="1:11" ht="15" thickBot="1" x14ac:dyDescent="0.35">
      <c r="A46" s="1">
        <v>1401903</v>
      </c>
      <c r="B46" s="2" t="s">
        <v>22</v>
      </c>
      <c r="C46" s="2">
        <v>3</v>
      </c>
      <c r="D46" s="2">
        <v>14840</v>
      </c>
      <c r="E46" s="9">
        <v>1367</v>
      </c>
      <c r="F46" s="7" t="s">
        <v>86</v>
      </c>
      <c r="G46" s="5" t="s">
        <v>151</v>
      </c>
      <c r="H46" s="5" t="s">
        <v>145</v>
      </c>
      <c r="I46" s="5" t="s">
        <v>161</v>
      </c>
      <c r="J46">
        <v>37.682246999999997</v>
      </c>
      <c r="K46">
        <v>-4.4795119999999997</v>
      </c>
    </row>
    <row r="47" spans="1:11" ht="15" thickBot="1" x14ac:dyDescent="0.35">
      <c r="A47" s="1">
        <v>1401904</v>
      </c>
      <c r="B47" s="2" t="s">
        <v>22</v>
      </c>
      <c r="C47" s="2">
        <v>4</v>
      </c>
      <c r="D47" s="2">
        <v>14840</v>
      </c>
      <c r="E47" s="9">
        <v>2018</v>
      </c>
      <c r="F47" s="7" t="s">
        <v>133</v>
      </c>
      <c r="G47" s="5" t="s">
        <v>120</v>
      </c>
      <c r="H47" s="5" t="s">
        <v>168</v>
      </c>
      <c r="I47" s="5" t="s">
        <v>161</v>
      </c>
      <c r="J47">
        <v>37.690223000000003</v>
      </c>
      <c r="K47">
        <v>-4.4811389999999998</v>
      </c>
    </row>
    <row r="48" spans="1:11" ht="15" thickBot="1" x14ac:dyDescent="0.35">
      <c r="A48" s="1">
        <v>1401905</v>
      </c>
      <c r="B48" s="2" t="s">
        <v>22</v>
      </c>
      <c r="C48" s="2">
        <v>5</v>
      </c>
      <c r="D48" s="2">
        <v>14840</v>
      </c>
      <c r="E48" s="9">
        <v>1103</v>
      </c>
      <c r="F48" s="7" t="s">
        <v>86</v>
      </c>
      <c r="G48" s="5" t="s">
        <v>169</v>
      </c>
      <c r="H48" s="5" t="s">
        <v>152</v>
      </c>
      <c r="I48" s="5" t="s">
        <v>161</v>
      </c>
      <c r="J48">
        <v>37.692777</v>
      </c>
      <c r="K48">
        <v>-4.4731069999999997</v>
      </c>
    </row>
    <row r="49" spans="1:11" ht="15" thickBot="1" x14ac:dyDescent="0.35">
      <c r="A49" s="1">
        <v>1402001</v>
      </c>
      <c r="B49" s="2" t="s">
        <v>23</v>
      </c>
      <c r="C49" s="2">
        <v>1</v>
      </c>
      <c r="D49" s="2">
        <v>14448</v>
      </c>
      <c r="E49" s="9">
        <v>353</v>
      </c>
      <c r="F49" s="7" t="s">
        <v>133</v>
      </c>
      <c r="G49" s="5" t="s">
        <v>170</v>
      </c>
      <c r="H49" s="5" t="s">
        <v>171</v>
      </c>
      <c r="I49" s="5" t="s">
        <v>172</v>
      </c>
      <c r="J49">
        <v>38.405352000000001</v>
      </c>
      <c r="K49">
        <v>-4.4918360000000002</v>
      </c>
    </row>
    <row r="50" spans="1:11" ht="15" thickBot="1" x14ac:dyDescent="0.35">
      <c r="A50" s="1">
        <v>1402101</v>
      </c>
      <c r="B50" s="2" t="s">
        <v>24</v>
      </c>
      <c r="C50" s="2">
        <v>1</v>
      </c>
      <c r="D50" s="2">
        <v>14001</v>
      </c>
      <c r="E50" s="9">
        <v>42257</v>
      </c>
      <c r="F50" s="7" t="s">
        <v>173</v>
      </c>
      <c r="G50" s="5" t="s">
        <v>174</v>
      </c>
      <c r="H50" s="5" t="s">
        <v>154</v>
      </c>
      <c r="I50" s="5" t="s">
        <v>161</v>
      </c>
      <c r="J50">
        <v>37.889479000000001</v>
      </c>
      <c r="K50">
        <v>-4.7748200000000001</v>
      </c>
    </row>
    <row r="51" spans="1:11" ht="15" thickBot="1" x14ac:dyDescent="0.35">
      <c r="A51" s="1">
        <v>1402102</v>
      </c>
      <c r="B51" s="2" t="s">
        <v>24</v>
      </c>
      <c r="C51" s="2">
        <v>2</v>
      </c>
      <c r="D51" s="2">
        <v>14003</v>
      </c>
      <c r="E51" s="9">
        <v>55293</v>
      </c>
      <c r="F51" s="7" t="s">
        <v>99</v>
      </c>
      <c r="G51" s="5" t="s">
        <v>151</v>
      </c>
      <c r="H51" s="5" t="s">
        <v>175</v>
      </c>
      <c r="I51" s="5" t="s">
        <v>98</v>
      </c>
      <c r="J51">
        <v>37.889079000000002</v>
      </c>
      <c r="K51">
        <v>-4.7696059999999996</v>
      </c>
    </row>
    <row r="52" spans="1:11" ht="15" thickBot="1" x14ac:dyDescent="0.35">
      <c r="A52" s="1">
        <v>1402103</v>
      </c>
      <c r="B52" s="2" t="s">
        <v>24</v>
      </c>
      <c r="C52" s="2">
        <v>3</v>
      </c>
      <c r="D52" s="2">
        <v>14010</v>
      </c>
      <c r="E52" s="9">
        <v>2923</v>
      </c>
      <c r="F52" s="7" t="s">
        <v>176</v>
      </c>
      <c r="G52" s="5" t="s">
        <v>156</v>
      </c>
      <c r="H52" s="5" t="s">
        <v>175</v>
      </c>
      <c r="I52" s="5" t="s">
        <v>89</v>
      </c>
      <c r="J52">
        <v>37.885907000000003</v>
      </c>
      <c r="K52">
        <v>-4.7743979999999997</v>
      </c>
    </row>
    <row r="53" spans="1:11" ht="15" thickBot="1" x14ac:dyDescent="0.35">
      <c r="A53" s="1">
        <v>1402104</v>
      </c>
      <c r="B53" s="2" t="s">
        <v>24</v>
      </c>
      <c r="C53" s="2">
        <v>4</v>
      </c>
      <c r="D53" s="2">
        <v>14007</v>
      </c>
      <c r="E53" s="9">
        <v>5653</v>
      </c>
      <c r="F53" s="7" t="s">
        <v>110</v>
      </c>
      <c r="G53" s="5" t="s">
        <v>177</v>
      </c>
      <c r="H53" s="5" t="s">
        <v>178</v>
      </c>
      <c r="I53" s="5" t="s">
        <v>89</v>
      </c>
      <c r="J53">
        <v>37.884501</v>
      </c>
      <c r="K53">
        <v>-4.7703100000000003</v>
      </c>
    </row>
    <row r="54" spans="1:11" ht="15" thickBot="1" x14ac:dyDescent="0.35">
      <c r="A54" s="1">
        <v>1402105</v>
      </c>
      <c r="B54" s="2" t="s">
        <v>24</v>
      </c>
      <c r="C54" s="2">
        <v>5</v>
      </c>
      <c r="D54" s="2">
        <v>14006</v>
      </c>
      <c r="E54" s="9">
        <v>34038</v>
      </c>
      <c r="F54" s="7" t="s">
        <v>133</v>
      </c>
      <c r="G54" s="5" t="s">
        <v>179</v>
      </c>
      <c r="H54" s="5" t="s">
        <v>180</v>
      </c>
      <c r="I54" s="5" t="s">
        <v>98</v>
      </c>
      <c r="J54">
        <v>37.882542000000001</v>
      </c>
      <c r="K54">
        <v>-4.7691949999999999</v>
      </c>
    </row>
    <row r="55" spans="1:11" ht="15" thickBot="1" x14ac:dyDescent="0.35">
      <c r="A55" s="1">
        <v>1402106</v>
      </c>
      <c r="B55" s="2" t="s">
        <v>24</v>
      </c>
      <c r="C55" s="2">
        <v>6</v>
      </c>
      <c r="D55" s="2">
        <v>14004</v>
      </c>
      <c r="E55" s="9">
        <v>72299</v>
      </c>
      <c r="F55" s="7" t="s">
        <v>173</v>
      </c>
      <c r="G55" s="5" t="s">
        <v>181</v>
      </c>
      <c r="H55" s="5" t="s">
        <v>182</v>
      </c>
      <c r="I55" s="5" t="s">
        <v>161</v>
      </c>
      <c r="J55">
        <v>37.886178000000001</v>
      </c>
      <c r="K55">
        <v>-4.7813460000000001</v>
      </c>
    </row>
    <row r="56" spans="1:11" ht="15" thickBot="1" x14ac:dyDescent="0.35">
      <c r="A56" s="1">
        <v>1402107</v>
      </c>
      <c r="B56" s="2" t="s">
        <v>24</v>
      </c>
      <c r="C56" s="2">
        <v>7</v>
      </c>
      <c r="D56" s="2">
        <v>14005</v>
      </c>
      <c r="E56" s="9">
        <v>4888</v>
      </c>
      <c r="F56" s="7" t="s">
        <v>183</v>
      </c>
      <c r="G56" s="5" t="s">
        <v>184</v>
      </c>
      <c r="H56" s="5" t="s">
        <v>185</v>
      </c>
      <c r="I56" s="5" t="s">
        <v>102</v>
      </c>
      <c r="J56">
        <v>37.885753000000001</v>
      </c>
      <c r="K56">
        <v>-4.7780139999999998</v>
      </c>
    </row>
    <row r="57" spans="1:11" ht="15" thickBot="1" x14ac:dyDescent="0.35">
      <c r="A57" s="1">
        <v>1402108</v>
      </c>
      <c r="B57" s="2" t="s">
        <v>24</v>
      </c>
      <c r="C57" s="2">
        <v>8</v>
      </c>
      <c r="D57" s="2">
        <v>14009</v>
      </c>
      <c r="E57" s="9">
        <v>3597</v>
      </c>
      <c r="F57" s="7" t="s">
        <v>186</v>
      </c>
      <c r="G57" s="5" t="s">
        <v>184</v>
      </c>
      <c r="H57" s="5" t="s">
        <v>150</v>
      </c>
      <c r="I57" s="5" t="s">
        <v>89</v>
      </c>
      <c r="J57">
        <v>37.883290000000002</v>
      </c>
      <c r="K57">
        <v>-4.7747640000000002</v>
      </c>
    </row>
    <row r="58" spans="1:11" ht="15" thickBot="1" x14ac:dyDescent="0.35">
      <c r="A58" s="1">
        <v>1402109</v>
      </c>
      <c r="B58" s="2" t="s">
        <v>24</v>
      </c>
      <c r="C58" s="2">
        <v>9</v>
      </c>
      <c r="D58" s="2">
        <v>14014</v>
      </c>
      <c r="E58" s="9">
        <v>39124</v>
      </c>
      <c r="F58" s="7" t="s">
        <v>86</v>
      </c>
      <c r="G58" s="5" t="s">
        <v>116</v>
      </c>
      <c r="H58" s="5" t="s">
        <v>109</v>
      </c>
      <c r="I58" s="5" t="s">
        <v>98</v>
      </c>
      <c r="J58">
        <v>37.878746</v>
      </c>
      <c r="K58">
        <v>-4.7798990000000003</v>
      </c>
    </row>
    <row r="59" spans="1:11" ht="15" thickBot="1" x14ac:dyDescent="0.35">
      <c r="A59" s="1">
        <v>1402110</v>
      </c>
      <c r="B59" s="2" t="s">
        <v>24</v>
      </c>
      <c r="C59" s="2">
        <v>10</v>
      </c>
      <c r="D59" s="2">
        <v>14012</v>
      </c>
      <c r="E59" s="9">
        <v>56991</v>
      </c>
      <c r="F59" s="7" t="s">
        <v>186</v>
      </c>
      <c r="G59" s="5" t="s">
        <v>187</v>
      </c>
      <c r="H59" s="5" t="s">
        <v>180</v>
      </c>
      <c r="I59" s="5" t="s">
        <v>98</v>
      </c>
      <c r="J59">
        <v>37.882744000000002</v>
      </c>
      <c r="K59">
        <v>-4.7844350000000002</v>
      </c>
    </row>
    <row r="60" spans="1:11" ht="15" thickBot="1" x14ac:dyDescent="0.35">
      <c r="A60" s="1">
        <v>1402201</v>
      </c>
      <c r="B60" s="2" t="s">
        <v>25</v>
      </c>
      <c r="C60" s="2">
        <v>1</v>
      </c>
      <c r="D60" s="2">
        <v>14860</v>
      </c>
      <c r="E60" s="9">
        <v>2962</v>
      </c>
      <c r="F60" s="7" t="s">
        <v>133</v>
      </c>
      <c r="G60" s="5" t="s">
        <v>111</v>
      </c>
      <c r="H60" s="5" t="s">
        <v>104</v>
      </c>
      <c r="I60" s="5" t="s">
        <v>161</v>
      </c>
      <c r="J60">
        <v>37.552844999999998</v>
      </c>
      <c r="K60">
        <v>-4.3694600000000001</v>
      </c>
    </row>
    <row r="61" spans="1:11" ht="15" thickBot="1" x14ac:dyDescent="0.35">
      <c r="A61" s="1">
        <v>1402202</v>
      </c>
      <c r="B61" s="2" t="s">
        <v>25</v>
      </c>
      <c r="C61" s="2">
        <v>2</v>
      </c>
      <c r="D61" s="2">
        <v>14860</v>
      </c>
      <c r="E61" s="9">
        <v>1516</v>
      </c>
      <c r="F61" s="7" t="s">
        <v>86</v>
      </c>
      <c r="G61" s="5" t="s">
        <v>188</v>
      </c>
      <c r="H61" s="5" t="s">
        <v>189</v>
      </c>
      <c r="I61" s="5" t="s">
        <v>89</v>
      </c>
      <c r="J61">
        <v>37.553514</v>
      </c>
      <c r="K61">
        <v>-4.3599030000000001</v>
      </c>
    </row>
    <row r="62" spans="1:11" ht="15" thickBot="1" x14ac:dyDescent="0.35">
      <c r="A62" s="1">
        <v>1402301</v>
      </c>
      <c r="B62" s="2" t="s">
        <v>26</v>
      </c>
      <c r="C62" s="2">
        <v>1</v>
      </c>
      <c r="D62" s="2">
        <v>14460</v>
      </c>
      <c r="E62" s="9">
        <v>1394</v>
      </c>
      <c r="F62" s="7" t="s">
        <v>133</v>
      </c>
      <c r="G62" s="5" t="s">
        <v>182</v>
      </c>
      <c r="H62" s="5" t="s">
        <v>175</v>
      </c>
      <c r="I62" s="5" t="s">
        <v>93</v>
      </c>
      <c r="J62">
        <v>38.472766999999997</v>
      </c>
      <c r="K62">
        <v>-4.8513419999999998</v>
      </c>
    </row>
    <row r="63" spans="1:11" ht="15" thickBot="1" x14ac:dyDescent="0.35">
      <c r="A63" s="1">
        <v>1402302</v>
      </c>
      <c r="B63" s="2" t="s">
        <v>26</v>
      </c>
      <c r="C63" s="2">
        <v>2</v>
      </c>
      <c r="D63" s="2">
        <v>14460</v>
      </c>
      <c r="E63" s="9">
        <v>974</v>
      </c>
      <c r="F63" s="7" t="s">
        <v>190</v>
      </c>
      <c r="G63" s="5" t="s">
        <v>191</v>
      </c>
      <c r="H63" s="5" t="s">
        <v>192</v>
      </c>
      <c r="I63" s="5" t="s">
        <v>107</v>
      </c>
      <c r="J63">
        <v>38.431494000000001</v>
      </c>
      <c r="K63">
        <v>-4.8915129999999998</v>
      </c>
    </row>
    <row r="64" spans="1:11" ht="15" thickBot="1" x14ac:dyDescent="0.35">
      <c r="A64" s="1">
        <v>1402401</v>
      </c>
      <c r="B64" s="2" t="s">
        <v>27</v>
      </c>
      <c r="C64" s="2">
        <v>1</v>
      </c>
      <c r="D64" s="2">
        <v>14913</v>
      </c>
      <c r="E64" s="9">
        <v>1171</v>
      </c>
      <c r="F64" s="7" t="s">
        <v>90</v>
      </c>
      <c r="G64" s="5" t="s">
        <v>149</v>
      </c>
      <c r="H64" s="5" t="s">
        <v>193</v>
      </c>
      <c r="I64" s="5" t="s">
        <v>102</v>
      </c>
      <c r="J64">
        <v>37.287149999999997</v>
      </c>
      <c r="K64">
        <v>-4.4995520000000004</v>
      </c>
    </row>
    <row r="65" spans="1:11" ht="15" thickBot="1" x14ac:dyDescent="0.35">
      <c r="A65" s="1">
        <v>1402402</v>
      </c>
      <c r="B65" s="2" t="s">
        <v>27</v>
      </c>
      <c r="C65" s="2">
        <v>2</v>
      </c>
      <c r="D65" s="2">
        <v>14913</v>
      </c>
      <c r="E65" s="9">
        <v>1067</v>
      </c>
      <c r="F65" s="7" t="s">
        <v>94</v>
      </c>
      <c r="G65" s="5" t="s">
        <v>147</v>
      </c>
      <c r="H65" s="5" t="s">
        <v>167</v>
      </c>
      <c r="I65" s="5" t="s">
        <v>93</v>
      </c>
      <c r="J65">
        <v>37.274946999999997</v>
      </c>
      <c r="K65">
        <v>-4.4654689999999997</v>
      </c>
    </row>
    <row r="66" spans="1:11" ht="15" thickBot="1" x14ac:dyDescent="0.35">
      <c r="A66" s="1">
        <v>1402501</v>
      </c>
      <c r="B66" s="2" t="s">
        <v>28</v>
      </c>
      <c r="C66" s="2">
        <v>1</v>
      </c>
      <c r="D66" s="2">
        <v>14830</v>
      </c>
      <c r="E66" s="9">
        <v>1102</v>
      </c>
      <c r="F66" s="7" t="s">
        <v>133</v>
      </c>
      <c r="G66" s="5" t="s">
        <v>194</v>
      </c>
      <c r="H66" s="5" t="s">
        <v>195</v>
      </c>
      <c r="I66" s="5" t="s">
        <v>89</v>
      </c>
      <c r="J66">
        <v>37.694088000000001</v>
      </c>
      <c r="K66">
        <v>-4.5343920000000004</v>
      </c>
    </row>
    <row r="67" spans="1:11" ht="15" thickBot="1" x14ac:dyDescent="0.35">
      <c r="A67" s="1">
        <v>1402502</v>
      </c>
      <c r="B67" s="2" t="s">
        <v>28</v>
      </c>
      <c r="C67" s="2">
        <v>2</v>
      </c>
      <c r="D67" s="2">
        <v>14830</v>
      </c>
      <c r="E67" s="9">
        <v>826</v>
      </c>
      <c r="F67" s="7" t="s">
        <v>133</v>
      </c>
      <c r="G67" s="5" t="s">
        <v>134</v>
      </c>
      <c r="H67" s="5" t="s">
        <v>196</v>
      </c>
      <c r="I67" s="5" t="s">
        <v>98</v>
      </c>
      <c r="J67">
        <v>37.680768</v>
      </c>
      <c r="K67">
        <v>-4.5536289999999999</v>
      </c>
    </row>
    <row r="68" spans="1:11" ht="15" thickBot="1" x14ac:dyDescent="0.35">
      <c r="A68" s="1">
        <v>1402503</v>
      </c>
      <c r="B68" s="2" t="s">
        <v>28</v>
      </c>
      <c r="C68" s="2">
        <v>3</v>
      </c>
      <c r="D68" s="2">
        <v>14830</v>
      </c>
      <c r="E68" s="9">
        <v>1250</v>
      </c>
      <c r="F68" s="7" t="s">
        <v>90</v>
      </c>
      <c r="G68" s="5" t="s">
        <v>136</v>
      </c>
      <c r="H68" s="5" t="s">
        <v>197</v>
      </c>
      <c r="I68" s="5" t="s">
        <v>89</v>
      </c>
      <c r="J68">
        <v>37.655385000000003</v>
      </c>
      <c r="K68">
        <v>-4.5690660000000003</v>
      </c>
    </row>
    <row r="69" spans="1:11" ht="15" thickBot="1" x14ac:dyDescent="0.35">
      <c r="A69" s="1">
        <v>1402601</v>
      </c>
      <c r="B69" s="2" t="s">
        <v>29</v>
      </c>
      <c r="C69" s="2">
        <v>1</v>
      </c>
      <c r="D69" s="2">
        <v>14220</v>
      </c>
      <c r="E69" s="9">
        <v>719</v>
      </c>
      <c r="F69" s="7" t="s">
        <v>99</v>
      </c>
      <c r="G69" s="5" t="s">
        <v>198</v>
      </c>
      <c r="H69" s="5" t="s">
        <v>199</v>
      </c>
      <c r="I69" s="5" t="s">
        <v>98</v>
      </c>
      <c r="J69">
        <v>38.186470999999997</v>
      </c>
      <c r="K69">
        <v>-5.0192050000000004</v>
      </c>
    </row>
    <row r="70" spans="1:11" ht="15" thickBot="1" x14ac:dyDescent="0.35">
      <c r="A70" s="1">
        <v>1402602</v>
      </c>
      <c r="B70" s="2" t="s">
        <v>29</v>
      </c>
      <c r="C70" s="2">
        <v>2</v>
      </c>
      <c r="D70" s="2">
        <v>14220</v>
      </c>
      <c r="E70" s="9">
        <v>666</v>
      </c>
      <c r="F70" s="7" t="s">
        <v>130</v>
      </c>
      <c r="G70" s="5" t="s">
        <v>142</v>
      </c>
      <c r="H70" s="5" t="s">
        <v>200</v>
      </c>
      <c r="I70" s="5" t="s">
        <v>102</v>
      </c>
      <c r="J70">
        <v>38.132671999999999</v>
      </c>
      <c r="K70">
        <v>-5.0765219999999998</v>
      </c>
    </row>
    <row r="71" spans="1:11" ht="15" thickBot="1" x14ac:dyDescent="0.35">
      <c r="A71" s="1">
        <v>1402603</v>
      </c>
      <c r="B71" s="2" t="s">
        <v>29</v>
      </c>
      <c r="C71" s="2">
        <v>3</v>
      </c>
      <c r="D71" s="2">
        <v>14220</v>
      </c>
      <c r="E71" s="9">
        <v>815</v>
      </c>
      <c r="F71" s="7" t="s">
        <v>163</v>
      </c>
      <c r="G71" s="5" t="s">
        <v>201</v>
      </c>
      <c r="H71" s="5" t="s">
        <v>202</v>
      </c>
      <c r="I71" s="5" t="s">
        <v>98</v>
      </c>
      <c r="J71">
        <v>38.188361</v>
      </c>
      <c r="K71">
        <v>-5.0235500000000002</v>
      </c>
    </row>
    <row r="72" spans="1:11" ht="15" thickBot="1" x14ac:dyDescent="0.35">
      <c r="A72" s="1">
        <v>1490101</v>
      </c>
      <c r="B72" s="2" t="s">
        <v>79</v>
      </c>
      <c r="C72" s="2">
        <v>1</v>
      </c>
      <c r="D72" s="2">
        <v>14110</v>
      </c>
      <c r="E72" s="9">
        <v>1065</v>
      </c>
      <c r="F72" s="7" t="s">
        <v>86</v>
      </c>
      <c r="G72" s="5" t="s">
        <v>128</v>
      </c>
      <c r="H72" s="5" t="s">
        <v>274</v>
      </c>
      <c r="I72" s="5" t="s">
        <v>89</v>
      </c>
      <c r="J72">
        <v>37.674411999999997</v>
      </c>
      <c r="K72">
        <v>-4.7077790000000004</v>
      </c>
    </row>
    <row r="73" spans="1:11" ht="15" thickBot="1" x14ac:dyDescent="0.35">
      <c r="A73" s="1">
        <v>1402701</v>
      </c>
      <c r="B73" s="2" t="s">
        <v>30</v>
      </c>
      <c r="C73" s="2">
        <v>1</v>
      </c>
      <c r="D73" s="2">
        <v>14520</v>
      </c>
      <c r="E73" s="9">
        <v>4544</v>
      </c>
      <c r="F73" s="7" t="s">
        <v>163</v>
      </c>
      <c r="G73" s="5" t="s">
        <v>140</v>
      </c>
      <c r="H73" s="5" t="s">
        <v>108</v>
      </c>
      <c r="I73" s="5" t="s">
        <v>98</v>
      </c>
      <c r="J73">
        <v>37.669995999999998</v>
      </c>
      <c r="K73">
        <v>-4.7276369999999996</v>
      </c>
    </row>
    <row r="74" spans="1:11" ht="15" thickBot="1" x14ac:dyDescent="0.35">
      <c r="A74" s="1">
        <v>1402702</v>
      </c>
      <c r="B74" s="2" t="s">
        <v>30</v>
      </c>
      <c r="C74" s="2">
        <v>2</v>
      </c>
      <c r="D74" s="2">
        <v>14520</v>
      </c>
      <c r="E74" s="9">
        <v>3056</v>
      </c>
      <c r="F74" s="7" t="s">
        <v>163</v>
      </c>
      <c r="G74" s="5" t="s">
        <v>116</v>
      </c>
      <c r="H74" s="5" t="s">
        <v>203</v>
      </c>
      <c r="I74" s="5" t="s">
        <v>98</v>
      </c>
      <c r="J74">
        <v>37.696348999999998</v>
      </c>
      <c r="K74">
        <v>-4.7252409999999996</v>
      </c>
    </row>
    <row r="75" spans="1:11" ht="15" thickBot="1" x14ac:dyDescent="0.35">
      <c r="A75" s="1">
        <v>1402703</v>
      </c>
      <c r="B75" s="2" t="s">
        <v>30</v>
      </c>
      <c r="C75" s="2">
        <v>3</v>
      </c>
      <c r="D75" s="2">
        <v>14520</v>
      </c>
      <c r="E75" s="9">
        <v>2035</v>
      </c>
      <c r="F75" s="7" t="s">
        <v>90</v>
      </c>
      <c r="G75" s="5" t="s">
        <v>204</v>
      </c>
      <c r="H75" s="5" t="s">
        <v>205</v>
      </c>
      <c r="I75" s="5" t="s">
        <v>89</v>
      </c>
      <c r="J75">
        <v>37.675597000000003</v>
      </c>
      <c r="K75">
        <v>-5.1429720000000003</v>
      </c>
    </row>
    <row r="76" spans="1:11" ht="15" thickBot="1" x14ac:dyDescent="0.35">
      <c r="A76" s="1">
        <v>1402801</v>
      </c>
      <c r="B76" s="2" t="s">
        <v>31</v>
      </c>
      <c r="C76" s="2">
        <v>1</v>
      </c>
      <c r="D76" s="2">
        <v>14480</v>
      </c>
      <c r="E76" s="9">
        <v>338</v>
      </c>
      <c r="F76" s="7" t="s">
        <v>190</v>
      </c>
      <c r="G76" s="5" t="s">
        <v>188</v>
      </c>
      <c r="H76" s="5" t="s">
        <v>206</v>
      </c>
      <c r="I76" s="5" t="s">
        <v>207</v>
      </c>
      <c r="J76">
        <v>38.419567999999998</v>
      </c>
      <c r="K76">
        <v>-5.0485129999999998</v>
      </c>
    </row>
    <row r="77" spans="1:11" ht="15" thickBot="1" x14ac:dyDescent="0.35">
      <c r="A77" s="1">
        <v>1402901</v>
      </c>
      <c r="B77" s="2" t="s">
        <v>32</v>
      </c>
      <c r="C77" s="2">
        <v>1</v>
      </c>
      <c r="D77" s="2">
        <v>14290</v>
      </c>
      <c r="E77" s="9">
        <v>1079</v>
      </c>
      <c r="F77" s="7" t="s">
        <v>94</v>
      </c>
      <c r="G77" s="5" t="s">
        <v>208</v>
      </c>
      <c r="H77" s="5" t="s">
        <v>209</v>
      </c>
      <c r="I77" s="5" t="s">
        <v>93</v>
      </c>
      <c r="J77">
        <v>38.316727999999998</v>
      </c>
      <c r="K77">
        <v>-5.4369490000000003</v>
      </c>
    </row>
    <row r="78" spans="1:11" ht="15" thickBot="1" x14ac:dyDescent="0.35">
      <c r="A78" s="1">
        <v>1402902</v>
      </c>
      <c r="B78" s="2" t="s">
        <v>32</v>
      </c>
      <c r="C78" s="2">
        <v>2</v>
      </c>
      <c r="D78" s="2">
        <v>14290</v>
      </c>
      <c r="E78" s="9">
        <v>1296</v>
      </c>
      <c r="F78" s="7" t="s">
        <v>90</v>
      </c>
      <c r="G78" s="5" t="s">
        <v>158</v>
      </c>
      <c r="H78" s="5" t="s">
        <v>210</v>
      </c>
      <c r="I78" s="5" t="s">
        <v>93</v>
      </c>
      <c r="J78">
        <v>38.252955</v>
      </c>
      <c r="K78">
        <v>-5.398123</v>
      </c>
    </row>
    <row r="79" spans="1:11" ht="15" thickBot="1" x14ac:dyDescent="0.35">
      <c r="A79" s="1">
        <v>1402903</v>
      </c>
      <c r="B79" s="2" t="s">
        <v>32</v>
      </c>
      <c r="C79" s="2">
        <v>3</v>
      </c>
      <c r="D79" s="2">
        <v>14290</v>
      </c>
      <c r="E79" s="9">
        <v>910</v>
      </c>
      <c r="F79" s="7" t="s">
        <v>211</v>
      </c>
      <c r="G79" s="5" t="s">
        <v>212</v>
      </c>
      <c r="H79" s="5" t="s">
        <v>213</v>
      </c>
      <c r="I79" s="5" t="s">
        <v>93</v>
      </c>
      <c r="J79">
        <v>38.281224000000002</v>
      </c>
      <c r="K79">
        <v>-5.5014700000000003</v>
      </c>
    </row>
    <row r="80" spans="1:11" ht="15" thickBot="1" x14ac:dyDescent="0.35">
      <c r="A80" s="1">
        <v>1402904</v>
      </c>
      <c r="B80" s="2" t="s">
        <v>32</v>
      </c>
      <c r="C80" s="2">
        <v>4</v>
      </c>
      <c r="D80" s="2">
        <v>14290</v>
      </c>
      <c r="E80" s="9">
        <v>1045</v>
      </c>
      <c r="F80" s="7" t="s">
        <v>94</v>
      </c>
      <c r="G80" s="5" t="s">
        <v>214</v>
      </c>
      <c r="H80" s="5" t="s">
        <v>215</v>
      </c>
      <c r="I80" s="5" t="s">
        <v>107</v>
      </c>
      <c r="J80">
        <v>38.217834000000003</v>
      </c>
      <c r="K80">
        <v>-5.3382839999999998</v>
      </c>
    </row>
    <row r="81" spans="1:11" ht="15" thickBot="1" x14ac:dyDescent="0.35">
      <c r="A81" s="1">
        <v>1403001</v>
      </c>
      <c r="B81" s="2" t="s">
        <v>33</v>
      </c>
      <c r="C81" s="2">
        <v>1</v>
      </c>
      <c r="D81" s="2">
        <v>14120</v>
      </c>
      <c r="E81" s="9">
        <v>8232</v>
      </c>
      <c r="F81" s="7" t="s">
        <v>90</v>
      </c>
      <c r="G81" s="5" t="s">
        <v>159</v>
      </c>
      <c r="H81" s="5" t="s">
        <v>216</v>
      </c>
      <c r="I81" s="5" t="s">
        <v>161</v>
      </c>
      <c r="J81">
        <v>37.701796000000002</v>
      </c>
      <c r="K81">
        <v>-5.1066310000000001</v>
      </c>
    </row>
    <row r="82" spans="1:11" ht="15" thickBot="1" x14ac:dyDescent="0.35">
      <c r="A82" s="1">
        <v>1403002</v>
      </c>
      <c r="B82" s="2" t="s">
        <v>33</v>
      </c>
      <c r="C82" s="2">
        <v>2</v>
      </c>
      <c r="D82" s="2">
        <v>14120</v>
      </c>
      <c r="E82" s="9">
        <v>1703</v>
      </c>
      <c r="F82" s="7" t="s">
        <v>86</v>
      </c>
      <c r="G82" s="5" t="s">
        <v>217</v>
      </c>
      <c r="H82" s="5" t="s">
        <v>218</v>
      </c>
      <c r="I82" s="5" t="s">
        <v>98</v>
      </c>
      <c r="J82">
        <v>37.658890999999997</v>
      </c>
      <c r="K82">
        <v>-5.0864630000000002</v>
      </c>
    </row>
    <row r="83" spans="1:11" ht="15" thickBot="1" x14ac:dyDescent="0.35">
      <c r="A83" s="1">
        <v>1403101</v>
      </c>
      <c r="B83" s="2" t="s">
        <v>34</v>
      </c>
      <c r="C83" s="2">
        <v>1</v>
      </c>
      <c r="D83" s="2">
        <v>14815</v>
      </c>
      <c r="E83" s="9">
        <v>676</v>
      </c>
      <c r="F83" s="7" t="s">
        <v>219</v>
      </c>
      <c r="G83" s="5" t="s">
        <v>220</v>
      </c>
      <c r="H83" s="5" t="s">
        <v>155</v>
      </c>
      <c r="I83" s="5" t="s">
        <v>102</v>
      </c>
      <c r="J83">
        <v>37.518715</v>
      </c>
      <c r="K83">
        <v>-4.129219</v>
      </c>
    </row>
    <row r="84" spans="1:11" ht="15" thickBot="1" x14ac:dyDescent="0.35">
      <c r="A84" s="1">
        <v>1403201</v>
      </c>
      <c r="B84" s="2" t="s">
        <v>35</v>
      </c>
      <c r="C84" s="2">
        <v>1</v>
      </c>
      <c r="D84" s="2">
        <v>14209</v>
      </c>
      <c r="E84" s="9">
        <v>412</v>
      </c>
      <c r="F84" s="7" t="s">
        <v>94</v>
      </c>
      <c r="G84" s="5" t="s">
        <v>221</v>
      </c>
      <c r="H84" s="5" t="s">
        <v>222</v>
      </c>
      <c r="I84" s="5" t="s">
        <v>102</v>
      </c>
      <c r="J84">
        <v>38.360458000000001</v>
      </c>
      <c r="K84">
        <v>-5.3374360000000003</v>
      </c>
    </row>
    <row r="85" spans="1:11" ht="15" thickBot="1" x14ac:dyDescent="0.35">
      <c r="A85" s="1">
        <v>1403301</v>
      </c>
      <c r="B85" s="2" t="s">
        <v>36</v>
      </c>
      <c r="C85" s="2">
        <v>1</v>
      </c>
      <c r="D85" s="2">
        <v>14546</v>
      </c>
      <c r="E85" s="9">
        <v>1549</v>
      </c>
      <c r="F85" s="7" t="s">
        <v>90</v>
      </c>
      <c r="G85" s="5" t="s">
        <v>223</v>
      </c>
      <c r="H85" s="5" t="s">
        <v>217</v>
      </c>
      <c r="I85" s="5" t="s">
        <v>89</v>
      </c>
      <c r="J85">
        <v>37.751477999999999</v>
      </c>
      <c r="K85">
        <v>-4.9734290000000003</v>
      </c>
    </row>
    <row r="86" spans="1:11" ht="15" thickBot="1" x14ac:dyDescent="0.35">
      <c r="A86" s="1">
        <v>1490201</v>
      </c>
      <c r="B86" s="2" t="s">
        <v>80</v>
      </c>
      <c r="C86" s="2">
        <v>1</v>
      </c>
      <c r="D86" s="2">
        <v>14547</v>
      </c>
      <c r="E86" s="9">
        <v>1359</v>
      </c>
      <c r="F86" s="7" t="s">
        <v>86</v>
      </c>
      <c r="G86" s="5" t="s">
        <v>201</v>
      </c>
      <c r="H86" s="5" t="s">
        <v>180</v>
      </c>
      <c r="I86" s="5" t="s">
        <v>89</v>
      </c>
      <c r="J86">
        <v>37.626434000000003</v>
      </c>
      <c r="K86">
        <v>-4.8700780000000004</v>
      </c>
    </row>
    <row r="87" spans="1:11" ht="15" thickBot="1" x14ac:dyDescent="0.35">
      <c r="A87" s="1">
        <v>1403401</v>
      </c>
      <c r="B87" s="2" t="s">
        <v>37</v>
      </c>
      <c r="C87" s="2">
        <v>1</v>
      </c>
      <c r="D87" s="2">
        <v>14413</v>
      </c>
      <c r="E87" s="9">
        <v>330</v>
      </c>
      <c r="F87" s="7" t="s">
        <v>163</v>
      </c>
      <c r="G87" s="5" t="s">
        <v>169</v>
      </c>
      <c r="H87" s="5" t="s">
        <v>224</v>
      </c>
      <c r="I87" s="5" t="s">
        <v>93</v>
      </c>
      <c r="J87">
        <v>38.524272000000003</v>
      </c>
      <c r="K87">
        <v>-4.7565200000000001</v>
      </c>
    </row>
    <row r="88" spans="1:11" ht="15" thickBot="1" x14ac:dyDescent="0.35">
      <c r="A88" s="1">
        <v>1403501</v>
      </c>
      <c r="B88" s="2" t="s">
        <v>38</v>
      </c>
      <c r="C88" s="2">
        <v>1</v>
      </c>
      <c r="D88" s="2">
        <v>14270</v>
      </c>
      <c r="E88" s="9">
        <v>915</v>
      </c>
      <c r="F88" s="7" t="s">
        <v>94</v>
      </c>
      <c r="G88" s="5" t="s">
        <v>91</v>
      </c>
      <c r="H88" s="5" t="s">
        <v>132</v>
      </c>
      <c r="I88" s="5" t="s">
        <v>89</v>
      </c>
      <c r="J88">
        <v>38.414926999999999</v>
      </c>
      <c r="K88">
        <v>-5.1774889999999996</v>
      </c>
    </row>
    <row r="89" spans="1:11" ht="15" thickBot="1" x14ac:dyDescent="0.35">
      <c r="A89" s="1">
        <v>1403502</v>
      </c>
      <c r="B89" s="2" t="s">
        <v>38</v>
      </c>
      <c r="C89" s="2">
        <v>2</v>
      </c>
      <c r="D89" s="2">
        <v>14270</v>
      </c>
      <c r="E89" s="9">
        <v>586</v>
      </c>
      <c r="F89" s="7" t="s">
        <v>94</v>
      </c>
      <c r="G89" s="5" t="s">
        <v>225</v>
      </c>
      <c r="H89" s="5" t="s">
        <v>226</v>
      </c>
      <c r="I89" s="5" t="s">
        <v>93</v>
      </c>
      <c r="J89">
        <v>38.497652000000002</v>
      </c>
      <c r="K89">
        <v>-5.1490020000000003</v>
      </c>
    </row>
    <row r="90" spans="1:11" ht="15" thickBot="1" x14ac:dyDescent="0.35">
      <c r="A90" s="1">
        <v>1403503</v>
      </c>
      <c r="B90" s="2" t="s">
        <v>38</v>
      </c>
      <c r="C90" s="2">
        <v>3</v>
      </c>
      <c r="D90" s="2">
        <v>14270</v>
      </c>
      <c r="E90" s="9">
        <v>3282</v>
      </c>
      <c r="F90" s="7" t="s">
        <v>86</v>
      </c>
      <c r="G90" s="5" t="s">
        <v>227</v>
      </c>
      <c r="H90" s="5" t="s">
        <v>122</v>
      </c>
      <c r="I90" s="5" t="s">
        <v>98</v>
      </c>
      <c r="J90">
        <v>38.498446000000001</v>
      </c>
      <c r="K90">
        <v>-5.1445239999999997</v>
      </c>
    </row>
    <row r="91" spans="1:11" ht="15" thickBot="1" x14ac:dyDescent="0.35">
      <c r="A91" s="1">
        <v>1403504</v>
      </c>
      <c r="B91" s="2" t="s">
        <v>38</v>
      </c>
      <c r="C91" s="2">
        <v>4</v>
      </c>
      <c r="D91" s="2">
        <v>14270</v>
      </c>
      <c r="E91" s="9">
        <v>1646</v>
      </c>
      <c r="F91" s="7" t="s">
        <v>94</v>
      </c>
      <c r="G91" s="5" t="s">
        <v>111</v>
      </c>
      <c r="H91" s="5" t="s">
        <v>228</v>
      </c>
      <c r="I91" s="5" t="s">
        <v>89</v>
      </c>
      <c r="J91">
        <v>38.479989000000003</v>
      </c>
      <c r="K91">
        <v>-5.0701499999999999</v>
      </c>
    </row>
    <row r="92" spans="1:11" ht="15" thickBot="1" x14ac:dyDescent="0.35">
      <c r="A92" s="1">
        <v>1403601</v>
      </c>
      <c r="B92" s="2" t="s">
        <v>39</v>
      </c>
      <c r="C92" s="2">
        <v>1</v>
      </c>
      <c r="D92" s="2">
        <v>14740</v>
      </c>
      <c r="E92" s="9">
        <v>1949</v>
      </c>
      <c r="F92" s="7" t="s">
        <v>86</v>
      </c>
      <c r="G92" s="5" t="s">
        <v>100</v>
      </c>
      <c r="H92" s="5" t="s">
        <v>150</v>
      </c>
      <c r="I92" s="5" t="s">
        <v>93</v>
      </c>
      <c r="J92">
        <v>37.825912000000002</v>
      </c>
      <c r="K92">
        <v>-5.242197</v>
      </c>
    </row>
    <row r="93" spans="1:11" ht="15" thickBot="1" x14ac:dyDescent="0.35">
      <c r="A93" s="1">
        <v>1403602</v>
      </c>
      <c r="B93" s="2" t="s">
        <v>39</v>
      </c>
      <c r="C93" s="2">
        <v>2</v>
      </c>
      <c r="D93" s="2">
        <v>14740</v>
      </c>
      <c r="E93" s="9">
        <v>2404</v>
      </c>
      <c r="F93" s="7" t="s">
        <v>133</v>
      </c>
      <c r="G93" s="5" t="s">
        <v>116</v>
      </c>
      <c r="H93" s="5" t="s">
        <v>104</v>
      </c>
      <c r="I93" s="5" t="s">
        <v>89</v>
      </c>
      <c r="J93">
        <v>37.828530000000001</v>
      </c>
      <c r="K93">
        <v>-5.2489499999999998</v>
      </c>
    </row>
    <row r="94" spans="1:11" ht="15" thickBot="1" x14ac:dyDescent="0.35">
      <c r="A94" s="1">
        <v>1403701</v>
      </c>
      <c r="B94" s="2" t="s">
        <v>40</v>
      </c>
      <c r="C94" s="2">
        <v>1</v>
      </c>
      <c r="D94" s="2">
        <v>14970</v>
      </c>
      <c r="E94" s="9">
        <v>1909</v>
      </c>
      <c r="F94" s="7" t="s">
        <v>86</v>
      </c>
      <c r="G94" s="5" t="s">
        <v>229</v>
      </c>
      <c r="H94" s="5" t="s">
        <v>230</v>
      </c>
      <c r="I94" s="5" t="s">
        <v>93</v>
      </c>
      <c r="J94">
        <v>37.256777999999997</v>
      </c>
      <c r="K94">
        <v>-4.3115230000000002</v>
      </c>
    </row>
    <row r="95" spans="1:11" ht="15" thickBot="1" x14ac:dyDescent="0.35">
      <c r="A95" s="1">
        <v>1403702</v>
      </c>
      <c r="B95" s="2" t="s">
        <v>40</v>
      </c>
      <c r="C95" s="2">
        <v>2</v>
      </c>
      <c r="D95" s="2">
        <v>14970</v>
      </c>
      <c r="E95" s="9">
        <v>820</v>
      </c>
      <c r="F95" s="7" t="s">
        <v>94</v>
      </c>
      <c r="G95" s="5" t="s">
        <v>170</v>
      </c>
      <c r="H95" s="5" t="s">
        <v>231</v>
      </c>
      <c r="I95" s="5" t="s">
        <v>107</v>
      </c>
      <c r="J95">
        <v>37.230587999999997</v>
      </c>
      <c r="K95">
        <v>-4.3236749999999997</v>
      </c>
    </row>
    <row r="96" spans="1:11" ht="15" thickBot="1" x14ac:dyDescent="0.35">
      <c r="A96" s="1">
        <v>1403703</v>
      </c>
      <c r="B96" s="2" t="s">
        <v>40</v>
      </c>
      <c r="C96" s="2">
        <v>3</v>
      </c>
      <c r="D96" s="2">
        <v>14970</v>
      </c>
      <c r="E96" s="9">
        <v>996</v>
      </c>
      <c r="F96" s="7" t="s">
        <v>115</v>
      </c>
      <c r="G96" s="5" t="s">
        <v>232</v>
      </c>
      <c r="H96" s="5" t="s">
        <v>196</v>
      </c>
      <c r="I96" s="5" t="s">
        <v>93</v>
      </c>
      <c r="J96">
        <v>37.289577999999999</v>
      </c>
      <c r="K96">
        <v>-4.2964419999999999</v>
      </c>
    </row>
    <row r="97" spans="1:11" ht="15" thickBot="1" x14ac:dyDescent="0.35">
      <c r="A97" s="1">
        <v>1403801</v>
      </c>
      <c r="B97" s="2" t="s">
        <v>41</v>
      </c>
      <c r="C97" s="2">
        <v>1</v>
      </c>
      <c r="D97" s="2">
        <v>14900</v>
      </c>
      <c r="E97" s="9">
        <v>9106</v>
      </c>
      <c r="F97" s="7" t="s">
        <v>90</v>
      </c>
      <c r="G97" s="5" t="s">
        <v>120</v>
      </c>
      <c r="H97" s="5" t="s">
        <v>117</v>
      </c>
      <c r="I97" s="5" t="s">
        <v>98</v>
      </c>
      <c r="J97">
        <v>37.408029999999997</v>
      </c>
      <c r="K97">
        <v>-4.4849249999999996</v>
      </c>
    </row>
    <row r="98" spans="1:11" ht="15" thickBot="1" x14ac:dyDescent="0.35">
      <c r="A98" s="1">
        <v>1403802</v>
      </c>
      <c r="B98" s="2" t="s">
        <v>41</v>
      </c>
      <c r="C98" s="2">
        <v>2</v>
      </c>
      <c r="D98" s="2">
        <v>14900</v>
      </c>
      <c r="E98" s="9">
        <v>15572</v>
      </c>
      <c r="F98" s="7" t="s">
        <v>86</v>
      </c>
      <c r="G98" s="5" t="s">
        <v>233</v>
      </c>
      <c r="H98" s="5" t="s">
        <v>234</v>
      </c>
      <c r="I98" s="5" t="s">
        <v>161</v>
      </c>
      <c r="J98">
        <v>37.409607999999999</v>
      </c>
      <c r="K98">
        <v>-4.4884310000000003</v>
      </c>
    </row>
    <row r="99" spans="1:11" ht="15" thickBot="1" x14ac:dyDescent="0.35">
      <c r="A99" s="1">
        <v>1403803</v>
      </c>
      <c r="B99" s="2" t="s">
        <v>41</v>
      </c>
      <c r="C99" s="2">
        <v>3</v>
      </c>
      <c r="D99" s="2">
        <v>14900</v>
      </c>
      <c r="E99" s="9">
        <v>14018</v>
      </c>
      <c r="F99" s="7" t="s">
        <v>133</v>
      </c>
      <c r="G99" s="5" t="s">
        <v>118</v>
      </c>
      <c r="H99" s="5" t="s">
        <v>182</v>
      </c>
      <c r="I99" s="5" t="s">
        <v>235</v>
      </c>
      <c r="J99">
        <v>37.414008000000003</v>
      </c>
      <c r="K99">
        <v>-4.4765699999999997</v>
      </c>
    </row>
    <row r="100" spans="1:11" ht="15" thickBot="1" x14ac:dyDescent="0.35">
      <c r="A100" s="1">
        <v>1403804</v>
      </c>
      <c r="B100" s="2" t="s">
        <v>41</v>
      </c>
      <c r="C100" s="2">
        <v>4</v>
      </c>
      <c r="D100" s="2">
        <v>14900</v>
      </c>
      <c r="E100" s="9">
        <v>2281</v>
      </c>
      <c r="F100" s="7" t="s">
        <v>86</v>
      </c>
      <c r="G100" s="5" t="s">
        <v>223</v>
      </c>
      <c r="H100" s="5" t="s">
        <v>187</v>
      </c>
      <c r="I100" s="5" t="s">
        <v>98</v>
      </c>
      <c r="J100">
        <v>37.345416</v>
      </c>
      <c r="K100">
        <v>-4.5288959999999996</v>
      </c>
    </row>
    <row r="101" spans="1:11" ht="15" thickBot="1" x14ac:dyDescent="0.35">
      <c r="A101" s="1">
        <v>1403805</v>
      </c>
      <c r="B101" s="2" t="s">
        <v>41</v>
      </c>
      <c r="C101" s="2">
        <v>5</v>
      </c>
      <c r="D101" s="2">
        <v>14911</v>
      </c>
      <c r="E101" s="9">
        <v>1653</v>
      </c>
      <c r="F101" s="7" t="s">
        <v>94</v>
      </c>
      <c r="G101" s="5" t="s">
        <v>138</v>
      </c>
      <c r="H101" s="5" t="s">
        <v>96</v>
      </c>
      <c r="I101" s="5" t="s">
        <v>98</v>
      </c>
      <c r="J101">
        <v>37.401155000000003</v>
      </c>
      <c r="K101">
        <v>-4.5831730000000004</v>
      </c>
    </row>
    <row r="102" spans="1:11" ht="15" thickBot="1" x14ac:dyDescent="0.35">
      <c r="A102" s="1">
        <v>1403901</v>
      </c>
      <c r="B102" s="2" t="s">
        <v>42</v>
      </c>
      <c r="C102" s="2">
        <v>1</v>
      </c>
      <c r="D102" s="2">
        <v>14880</v>
      </c>
      <c r="E102" s="9">
        <v>2817</v>
      </c>
      <c r="F102" s="7" t="s">
        <v>86</v>
      </c>
      <c r="G102" s="5" t="s">
        <v>142</v>
      </c>
      <c r="H102" s="5" t="s">
        <v>236</v>
      </c>
      <c r="I102" s="5" t="s">
        <v>102</v>
      </c>
      <c r="J102">
        <v>37.556449999999998</v>
      </c>
      <c r="K102">
        <v>-4.2383449999999998</v>
      </c>
    </row>
    <row r="103" spans="1:11" ht="15" thickBot="1" x14ac:dyDescent="0.35">
      <c r="A103" s="1">
        <v>1404001</v>
      </c>
      <c r="B103" s="2" t="s">
        <v>43</v>
      </c>
      <c r="C103" s="2">
        <v>1</v>
      </c>
      <c r="D103" s="2">
        <v>14548</v>
      </c>
      <c r="E103" s="9">
        <v>1916</v>
      </c>
      <c r="F103" s="7" t="s">
        <v>90</v>
      </c>
      <c r="G103" s="5" t="s">
        <v>174</v>
      </c>
      <c r="H103" s="5" t="s">
        <v>237</v>
      </c>
      <c r="I103" s="5" t="s">
        <v>89</v>
      </c>
      <c r="J103">
        <v>37.580272999999998</v>
      </c>
      <c r="K103">
        <v>-4.76328</v>
      </c>
    </row>
    <row r="104" spans="1:11" ht="15" thickBot="1" x14ac:dyDescent="0.35">
      <c r="A104" s="1">
        <v>1404002</v>
      </c>
      <c r="B104" s="2" t="s">
        <v>43</v>
      </c>
      <c r="C104" s="2">
        <v>2</v>
      </c>
      <c r="D104" s="2">
        <v>14548</v>
      </c>
      <c r="E104" s="9">
        <v>2519</v>
      </c>
      <c r="F104" s="7" t="s">
        <v>90</v>
      </c>
      <c r="G104" s="5" t="s">
        <v>238</v>
      </c>
      <c r="H104" s="5" t="s">
        <v>180</v>
      </c>
      <c r="I104" s="5" t="s">
        <v>98</v>
      </c>
      <c r="J104">
        <v>37.581929000000002</v>
      </c>
      <c r="K104">
        <v>-4.7480390000000003</v>
      </c>
    </row>
    <row r="105" spans="1:11" ht="15" thickBot="1" x14ac:dyDescent="0.35">
      <c r="A105" s="1">
        <v>1404101</v>
      </c>
      <c r="B105" s="2" t="s">
        <v>44</v>
      </c>
      <c r="C105" s="2">
        <v>1</v>
      </c>
      <c r="D105" s="2">
        <v>14530</v>
      </c>
      <c r="E105" s="9">
        <v>1817</v>
      </c>
      <c r="F105" s="7" t="s">
        <v>99</v>
      </c>
      <c r="G105" s="5" t="s">
        <v>179</v>
      </c>
      <c r="H105" s="5" t="s">
        <v>154</v>
      </c>
      <c r="I105" s="5" t="s">
        <v>98</v>
      </c>
      <c r="J105">
        <v>37.651269999999997</v>
      </c>
      <c r="K105">
        <v>-4.7106310000000002</v>
      </c>
    </row>
    <row r="106" spans="1:11" ht="15" thickBot="1" x14ac:dyDescent="0.35">
      <c r="A106" s="1">
        <v>1404102</v>
      </c>
      <c r="B106" s="2" t="s">
        <v>44</v>
      </c>
      <c r="C106" s="2">
        <v>2</v>
      </c>
      <c r="D106" s="2">
        <v>14530</v>
      </c>
      <c r="E106" s="9">
        <v>2061</v>
      </c>
      <c r="F106" s="7" t="s">
        <v>90</v>
      </c>
      <c r="G106" s="5" t="s">
        <v>239</v>
      </c>
      <c r="H106" s="5" t="s">
        <v>192</v>
      </c>
      <c r="I106" s="5" t="s">
        <v>161</v>
      </c>
      <c r="J106">
        <v>37.639403999999999</v>
      </c>
      <c r="K106">
        <v>-4.6512270000000004</v>
      </c>
    </row>
    <row r="107" spans="1:11" ht="15" thickBot="1" x14ac:dyDescent="0.35">
      <c r="A107" s="1">
        <v>1404201</v>
      </c>
      <c r="B107" s="2" t="s">
        <v>45</v>
      </c>
      <c r="C107" s="2">
        <v>1</v>
      </c>
      <c r="D107" s="2">
        <v>14550</v>
      </c>
      <c r="E107" s="9">
        <v>2541</v>
      </c>
      <c r="F107" s="7" t="s">
        <v>163</v>
      </c>
      <c r="G107" s="5" t="s">
        <v>234</v>
      </c>
      <c r="H107" s="5" t="s">
        <v>230</v>
      </c>
      <c r="I107" s="5" t="s">
        <v>89</v>
      </c>
      <c r="J107">
        <v>37.585155999999998</v>
      </c>
      <c r="K107">
        <v>-4.6395679999999997</v>
      </c>
    </row>
    <row r="108" spans="1:11" ht="15" thickBot="1" x14ac:dyDescent="0.35">
      <c r="A108" s="1">
        <v>1404202</v>
      </c>
      <c r="B108" s="2" t="s">
        <v>45</v>
      </c>
      <c r="C108" s="2">
        <v>2</v>
      </c>
      <c r="D108" s="2">
        <v>14550</v>
      </c>
      <c r="E108" s="9">
        <v>4472</v>
      </c>
      <c r="F108" s="7" t="s">
        <v>99</v>
      </c>
      <c r="G108" s="5" t="s">
        <v>160</v>
      </c>
      <c r="H108" s="5" t="s">
        <v>240</v>
      </c>
      <c r="I108" s="5" t="s">
        <v>98</v>
      </c>
      <c r="J108">
        <v>37.588228999999998</v>
      </c>
      <c r="K108">
        <v>-4.6377350000000002</v>
      </c>
    </row>
    <row r="109" spans="1:11" ht="15" thickBot="1" x14ac:dyDescent="0.35">
      <c r="A109" s="1">
        <v>1404203</v>
      </c>
      <c r="B109" s="2" t="s">
        <v>45</v>
      </c>
      <c r="C109" s="2">
        <v>3</v>
      </c>
      <c r="D109" s="2">
        <v>14550</v>
      </c>
      <c r="E109" s="9">
        <v>7564</v>
      </c>
      <c r="F109" s="7" t="s">
        <v>99</v>
      </c>
      <c r="G109" s="5" t="s">
        <v>100</v>
      </c>
      <c r="H109" s="5" t="s">
        <v>199</v>
      </c>
      <c r="I109" s="5" t="s">
        <v>89</v>
      </c>
      <c r="J109">
        <v>37.583094000000003</v>
      </c>
      <c r="K109">
        <v>-4.6409599999999998</v>
      </c>
    </row>
    <row r="110" spans="1:11" ht="15" thickBot="1" x14ac:dyDescent="0.35">
      <c r="A110" s="1">
        <v>1404204</v>
      </c>
      <c r="B110" s="2" t="s">
        <v>45</v>
      </c>
      <c r="C110" s="2">
        <v>4</v>
      </c>
      <c r="D110" s="2">
        <v>14550</v>
      </c>
      <c r="E110" s="9">
        <v>6135</v>
      </c>
      <c r="F110" s="7" t="s">
        <v>133</v>
      </c>
      <c r="G110" s="5" t="s">
        <v>151</v>
      </c>
      <c r="H110" s="5" t="s">
        <v>167</v>
      </c>
      <c r="I110" s="5" t="s">
        <v>98</v>
      </c>
      <c r="J110">
        <v>37.590007999999997</v>
      </c>
      <c r="K110">
        <v>-4.6399590000000002</v>
      </c>
    </row>
    <row r="111" spans="1:11" ht="15" thickBot="1" x14ac:dyDescent="0.35">
      <c r="A111" s="1">
        <v>1404205</v>
      </c>
      <c r="B111" s="2" t="s">
        <v>45</v>
      </c>
      <c r="C111" s="2">
        <v>5</v>
      </c>
      <c r="D111" s="2">
        <v>14550</v>
      </c>
      <c r="E111" s="9">
        <v>1388</v>
      </c>
      <c r="F111" s="7" t="s">
        <v>90</v>
      </c>
      <c r="G111" s="5" t="s">
        <v>128</v>
      </c>
      <c r="H111" s="5" t="s">
        <v>241</v>
      </c>
      <c r="I111" s="5" t="s">
        <v>98</v>
      </c>
      <c r="J111">
        <v>37.558883999999999</v>
      </c>
      <c r="K111">
        <v>-4.5682539999999996</v>
      </c>
    </row>
    <row r="112" spans="1:11" ht="15" thickBot="1" x14ac:dyDescent="0.35">
      <c r="A112" s="1">
        <v>1404301</v>
      </c>
      <c r="B112" s="2" t="s">
        <v>46</v>
      </c>
      <c r="C112" s="2">
        <v>1</v>
      </c>
      <c r="D112" s="2">
        <v>14600</v>
      </c>
      <c r="E112" s="9">
        <v>1765</v>
      </c>
      <c r="F112" s="7" t="s">
        <v>94</v>
      </c>
      <c r="G112" s="5" t="s">
        <v>140</v>
      </c>
      <c r="H112" s="5" t="s">
        <v>181</v>
      </c>
      <c r="I112" s="5" t="s">
        <v>98</v>
      </c>
      <c r="J112">
        <v>38.027025999999999</v>
      </c>
      <c r="K112">
        <v>-4.3837890000000002</v>
      </c>
    </row>
    <row r="113" spans="1:11" ht="15" thickBot="1" x14ac:dyDescent="0.35">
      <c r="A113" s="1">
        <v>1404302</v>
      </c>
      <c r="B113" s="2" t="s">
        <v>46</v>
      </c>
      <c r="C113" s="2">
        <v>2</v>
      </c>
      <c r="D113" s="2">
        <v>14600</v>
      </c>
      <c r="E113" s="9">
        <v>1108</v>
      </c>
      <c r="F113" s="7" t="s">
        <v>86</v>
      </c>
      <c r="G113" s="5" t="s">
        <v>160</v>
      </c>
      <c r="H113" s="5" t="s">
        <v>242</v>
      </c>
      <c r="I113" s="5" t="s">
        <v>161</v>
      </c>
      <c r="J113">
        <v>38.109313</v>
      </c>
      <c r="K113">
        <v>-4.286753</v>
      </c>
    </row>
    <row r="114" spans="1:11" ht="15" thickBot="1" x14ac:dyDescent="0.35">
      <c r="A114" s="1">
        <v>1404303</v>
      </c>
      <c r="B114" s="2" t="s">
        <v>46</v>
      </c>
      <c r="C114" s="2">
        <v>3</v>
      </c>
      <c r="D114" s="2">
        <v>14600</v>
      </c>
      <c r="E114" s="9">
        <v>1531</v>
      </c>
      <c r="F114" s="7" t="s">
        <v>90</v>
      </c>
      <c r="G114" s="5" t="s">
        <v>111</v>
      </c>
      <c r="H114" s="5" t="s">
        <v>112</v>
      </c>
      <c r="I114" s="5" t="s">
        <v>98</v>
      </c>
      <c r="J114">
        <v>38.024939000000003</v>
      </c>
      <c r="K114">
        <v>-4.384887</v>
      </c>
    </row>
    <row r="115" spans="1:11" ht="15" thickBot="1" x14ac:dyDescent="0.35">
      <c r="A115" s="1">
        <v>1404304</v>
      </c>
      <c r="B115" s="2" t="s">
        <v>46</v>
      </c>
      <c r="C115" s="2">
        <v>4</v>
      </c>
      <c r="D115" s="2">
        <v>14600</v>
      </c>
      <c r="E115" s="9">
        <v>4615</v>
      </c>
      <c r="F115" s="7" t="s">
        <v>133</v>
      </c>
      <c r="G115" s="5" t="s">
        <v>103</v>
      </c>
      <c r="H115" s="5" t="s">
        <v>109</v>
      </c>
      <c r="I115" s="5" t="s">
        <v>98</v>
      </c>
      <c r="J115">
        <v>38.134031999999998</v>
      </c>
      <c r="K115">
        <v>-4.4509869999999996</v>
      </c>
    </row>
    <row r="116" spans="1:11" ht="15" thickBot="1" x14ac:dyDescent="0.35">
      <c r="A116" s="1">
        <v>1404401</v>
      </c>
      <c r="B116" s="2" t="s">
        <v>47</v>
      </c>
      <c r="C116" s="2">
        <v>1</v>
      </c>
      <c r="D116" s="2">
        <v>14547</v>
      </c>
      <c r="E116" s="9">
        <v>1935</v>
      </c>
      <c r="F116" s="7" t="s">
        <v>90</v>
      </c>
      <c r="G116" s="5" t="s">
        <v>239</v>
      </c>
      <c r="H116" s="5" t="s">
        <v>243</v>
      </c>
      <c r="I116" s="5" t="s">
        <v>89</v>
      </c>
      <c r="J116">
        <v>37.475740999999999</v>
      </c>
      <c r="K116">
        <v>-4.5813769999999998</v>
      </c>
    </row>
    <row r="117" spans="1:11" ht="15" thickBot="1" x14ac:dyDescent="0.35">
      <c r="A117" s="1">
        <v>1404501</v>
      </c>
      <c r="B117" s="2" t="s">
        <v>48</v>
      </c>
      <c r="C117" s="2">
        <v>1</v>
      </c>
      <c r="D117" s="2">
        <v>14510</v>
      </c>
      <c r="E117" s="9">
        <v>3629</v>
      </c>
      <c r="F117" s="7" t="s">
        <v>94</v>
      </c>
      <c r="G117" s="5" t="s">
        <v>138</v>
      </c>
      <c r="H117" s="5" t="s">
        <v>244</v>
      </c>
      <c r="I117" s="5" t="s">
        <v>89</v>
      </c>
      <c r="J117">
        <v>37.443072999999998</v>
      </c>
      <c r="K117">
        <v>-4.6151879999999998</v>
      </c>
    </row>
    <row r="118" spans="1:11" ht="15" thickBot="1" x14ac:dyDescent="0.35">
      <c r="A118" s="1">
        <v>1404601</v>
      </c>
      <c r="B118" s="2" t="s">
        <v>49</v>
      </c>
      <c r="C118" s="2">
        <v>1</v>
      </c>
      <c r="D118" s="2">
        <v>14857</v>
      </c>
      <c r="E118" s="9">
        <v>3038</v>
      </c>
      <c r="F118" s="7" t="s">
        <v>94</v>
      </c>
      <c r="G118" s="5" t="s">
        <v>87</v>
      </c>
      <c r="H118" s="5" t="s">
        <v>103</v>
      </c>
      <c r="I118" s="5" t="s">
        <v>161</v>
      </c>
      <c r="J118">
        <v>37.599665000000002</v>
      </c>
      <c r="K118">
        <v>-4.4475020000000001</v>
      </c>
    </row>
    <row r="119" spans="1:11" ht="15" thickBot="1" x14ac:dyDescent="0.35">
      <c r="A119" s="1">
        <v>1404602</v>
      </c>
      <c r="B119" s="2" t="s">
        <v>49</v>
      </c>
      <c r="C119" s="2">
        <v>2</v>
      </c>
      <c r="D119" s="2">
        <v>14857</v>
      </c>
      <c r="E119" s="9">
        <v>2274</v>
      </c>
      <c r="F119" s="7" t="s">
        <v>94</v>
      </c>
      <c r="G119" s="5" t="s">
        <v>217</v>
      </c>
      <c r="H119" s="5" t="s">
        <v>228</v>
      </c>
      <c r="I119" s="5" t="s">
        <v>98</v>
      </c>
      <c r="J119">
        <v>37.583123999999998</v>
      </c>
      <c r="K119">
        <v>-4.4684699999999999</v>
      </c>
    </row>
    <row r="120" spans="1:11" ht="15" thickBot="1" x14ac:dyDescent="0.35">
      <c r="A120" s="1">
        <v>1404701</v>
      </c>
      <c r="B120" s="2" t="s">
        <v>50</v>
      </c>
      <c r="C120" s="2">
        <v>1</v>
      </c>
      <c r="D120" s="2">
        <v>14350</v>
      </c>
      <c r="E120" s="9">
        <v>2090</v>
      </c>
      <c r="F120" s="7" t="s">
        <v>99</v>
      </c>
      <c r="G120" s="5" t="s">
        <v>151</v>
      </c>
      <c r="H120" s="5" t="s">
        <v>216</v>
      </c>
      <c r="I120" s="5" t="s">
        <v>89</v>
      </c>
      <c r="J120">
        <v>38.074013999999998</v>
      </c>
      <c r="K120">
        <v>-4.7605180000000002</v>
      </c>
    </row>
    <row r="121" spans="1:11" ht="15" thickBot="1" x14ac:dyDescent="0.35">
      <c r="A121" s="1">
        <v>1404801</v>
      </c>
      <c r="B121" s="2" t="s">
        <v>51</v>
      </c>
      <c r="C121" s="2">
        <v>1</v>
      </c>
      <c r="D121" s="2">
        <v>14914</v>
      </c>
      <c r="E121" s="9">
        <v>1432</v>
      </c>
      <c r="F121" s="7" t="s">
        <v>86</v>
      </c>
      <c r="G121" s="5" t="s">
        <v>191</v>
      </c>
      <c r="H121" s="5" t="s">
        <v>205</v>
      </c>
      <c r="I121" s="5" t="s">
        <v>98</v>
      </c>
      <c r="J121">
        <v>37.250250999999999</v>
      </c>
      <c r="K121">
        <v>-4.595421</v>
      </c>
    </row>
    <row r="122" spans="1:11" ht="15" thickBot="1" x14ac:dyDescent="0.35">
      <c r="A122" s="1">
        <v>1404901</v>
      </c>
      <c r="B122" s="2" t="s">
        <v>52</v>
      </c>
      <c r="C122" s="2">
        <v>1</v>
      </c>
      <c r="D122" s="2">
        <v>14700</v>
      </c>
      <c r="E122" s="9">
        <v>7114</v>
      </c>
      <c r="F122" s="7" t="s">
        <v>86</v>
      </c>
      <c r="G122" s="5" t="s">
        <v>199</v>
      </c>
      <c r="H122" s="5" t="s">
        <v>245</v>
      </c>
      <c r="I122" s="5" t="s">
        <v>235</v>
      </c>
      <c r="J122">
        <v>37.695390000000003</v>
      </c>
      <c r="K122">
        <v>-5.2755190000000001</v>
      </c>
    </row>
    <row r="123" spans="1:11" ht="15" thickBot="1" x14ac:dyDescent="0.35">
      <c r="A123" s="1">
        <v>1404902</v>
      </c>
      <c r="B123" s="2" t="s">
        <v>52</v>
      </c>
      <c r="C123" s="2">
        <v>2</v>
      </c>
      <c r="D123" s="2">
        <v>14700</v>
      </c>
      <c r="E123" s="9">
        <v>3561</v>
      </c>
      <c r="F123" s="7" t="s">
        <v>86</v>
      </c>
      <c r="G123" s="5" t="s">
        <v>151</v>
      </c>
      <c r="H123" s="5" t="s">
        <v>246</v>
      </c>
      <c r="I123" s="5" t="s">
        <v>98</v>
      </c>
      <c r="J123">
        <v>37.696809999999999</v>
      </c>
      <c r="K123">
        <v>-5.2809179999999998</v>
      </c>
    </row>
    <row r="124" spans="1:11" ht="15" thickBot="1" x14ac:dyDescent="0.35">
      <c r="A124" s="1">
        <v>1404903</v>
      </c>
      <c r="B124" s="2" t="s">
        <v>52</v>
      </c>
      <c r="C124" s="2">
        <v>3</v>
      </c>
      <c r="D124" s="2">
        <v>14700</v>
      </c>
      <c r="E124" s="9">
        <v>9744</v>
      </c>
      <c r="F124" s="7" t="s">
        <v>90</v>
      </c>
      <c r="G124" s="5" t="s">
        <v>121</v>
      </c>
      <c r="H124" s="5" t="s">
        <v>154</v>
      </c>
      <c r="I124" s="5" t="s">
        <v>98</v>
      </c>
      <c r="J124">
        <v>37.699328000000001</v>
      </c>
      <c r="K124">
        <v>-5.2812159999999997</v>
      </c>
    </row>
    <row r="125" spans="1:11" ht="15" thickBot="1" x14ac:dyDescent="0.35">
      <c r="A125" s="1">
        <v>1405001</v>
      </c>
      <c r="B125" s="2" t="s">
        <v>53</v>
      </c>
      <c r="C125" s="2">
        <v>1</v>
      </c>
      <c r="D125" s="2">
        <v>14630</v>
      </c>
      <c r="E125" s="9">
        <v>1643</v>
      </c>
      <c r="F125" s="7" t="s">
        <v>133</v>
      </c>
      <c r="G125" s="5" t="s">
        <v>204</v>
      </c>
      <c r="H125" s="5" t="s">
        <v>97</v>
      </c>
      <c r="I125" s="5" t="s">
        <v>89</v>
      </c>
      <c r="J125">
        <v>37.977941000000001</v>
      </c>
      <c r="K125">
        <v>-4.4738579999999999</v>
      </c>
    </row>
    <row r="126" spans="1:11" ht="15" thickBot="1" x14ac:dyDescent="0.35">
      <c r="A126" s="1">
        <v>1405002</v>
      </c>
      <c r="B126" s="2" t="s">
        <v>53</v>
      </c>
      <c r="C126" s="2">
        <v>2</v>
      </c>
      <c r="D126" s="2">
        <v>14630</v>
      </c>
      <c r="E126" s="9">
        <v>1171</v>
      </c>
      <c r="F126" s="7" t="s">
        <v>99</v>
      </c>
      <c r="G126" s="5" t="s">
        <v>128</v>
      </c>
      <c r="H126" s="5" t="s">
        <v>132</v>
      </c>
      <c r="I126" s="5" t="s">
        <v>93</v>
      </c>
      <c r="J126">
        <v>37.962043000000001</v>
      </c>
      <c r="K126">
        <v>-4.439546</v>
      </c>
    </row>
    <row r="127" spans="1:11" ht="15" thickBot="1" x14ac:dyDescent="0.35">
      <c r="A127" s="1">
        <v>1405101</v>
      </c>
      <c r="B127" s="2" t="s">
        <v>54</v>
      </c>
      <c r="C127" s="2">
        <v>1</v>
      </c>
      <c r="D127" s="2">
        <v>14412</v>
      </c>
      <c r="E127" s="9">
        <v>774</v>
      </c>
      <c r="F127" s="7" t="s">
        <v>133</v>
      </c>
      <c r="G127" s="5" t="s">
        <v>247</v>
      </c>
      <c r="H127" s="5" t="s">
        <v>248</v>
      </c>
      <c r="I127" s="5" t="s">
        <v>107</v>
      </c>
      <c r="J127">
        <v>38.418472000000001</v>
      </c>
      <c r="K127">
        <v>-4.7241419999999996</v>
      </c>
    </row>
    <row r="128" spans="1:11" ht="15" thickBot="1" x14ac:dyDescent="0.35">
      <c r="A128" s="1">
        <v>1405102</v>
      </c>
      <c r="B128" s="2" t="s">
        <v>54</v>
      </c>
      <c r="C128" s="2">
        <v>2</v>
      </c>
      <c r="D128" s="2">
        <v>14412</v>
      </c>
      <c r="E128" s="9">
        <v>598</v>
      </c>
      <c r="F128" s="7" t="s">
        <v>133</v>
      </c>
      <c r="G128" s="5" t="s">
        <v>249</v>
      </c>
      <c r="H128" s="5" t="s">
        <v>250</v>
      </c>
      <c r="I128" s="5" t="s">
        <v>172</v>
      </c>
      <c r="J128">
        <v>38.429879999999997</v>
      </c>
      <c r="K128">
        <v>-4.7863160000000002</v>
      </c>
    </row>
    <row r="129" spans="1:11" ht="15" thickBot="1" x14ac:dyDescent="0.35">
      <c r="A129" s="1">
        <v>1405201</v>
      </c>
      <c r="B129" s="2" t="s">
        <v>55</v>
      </c>
      <c r="C129" s="2">
        <v>1</v>
      </c>
      <c r="D129" s="2">
        <v>14200</v>
      </c>
      <c r="E129" s="9">
        <v>4706</v>
      </c>
      <c r="F129" s="7" t="s">
        <v>110</v>
      </c>
      <c r="G129" s="5" t="s">
        <v>194</v>
      </c>
      <c r="H129" s="5" t="s">
        <v>251</v>
      </c>
      <c r="I129" s="5" t="s">
        <v>89</v>
      </c>
      <c r="J129">
        <v>38.277901</v>
      </c>
      <c r="K129">
        <v>-5.2712690000000002</v>
      </c>
    </row>
    <row r="130" spans="1:11" ht="15" thickBot="1" x14ac:dyDescent="0.35">
      <c r="A130" s="1">
        <v>1405202</v>
      </c>
      <c r="B130" s="2" t="s">
        <v>55</v>
      </c>
      <c r="C130" s="2">
        <v>2</v>
      </c>
      <c r="D130" s="2">
        <v>14200</v>
      </c>
      <c r="E130" s="9">
        <v>3033</v>
      </c>
      <c r="F130" s="7" t="s">
        <v>86</v>
      </c>
      <c r="G130" s="5" t="s">
        <v>227</v>
      </c>
      <c r="H130" s="5" t="s">
        <v>240</v>
      </c>
      <c r="I130" s="5" t="s">
        <v>89</v>
      </c>
      <c r="J130">
        <v>38.297573</v>
      </c>
      <c r="K130">
        <v>-5.2612269999999999</v>
      </c>
    </row>
    <row r="131" spans="1:11" ht="15" thickBot="1" x14ac:dyDescent="0.35">
      <c r="A131" s="1">
        <v>1405203</v>
      </c>
      <c r="B131" s="2" t="s">
        <v>55</v>
      </c>
      <c r="C131" s="2">
        <v>3</v>
      </c>
      <c r="D131" s="2">
        <v>14200</v>
      </c>
      <c r="E131" s="9">
        <v>2325</v>
      </c>
      <c r="F131" s="7" t="s">
        <v>90</v>
      </c>
      <c r="G131" s="5" t="s">
        <v>227</v>
      </c>
      <c r="H131" s="5" t="s">
        <v>165</v>
      </c>
      <c r="I131" s="5" t="s">
        <v>89</v>
      </c>
      <c r="J131">
        <v>38.301707999999998</v>
      </c>
      <c r="K131">
        <v>-5.282883</v>
      </c>
    </row>
    <row r="132" spans="1:11" ht="15" thickBot="1" x14ac:dyDescent="0.35">
      <c r="A132" s="1">
        <v>1405204</v>
      </c>
      <c r="B132" s="2" t="s">
        <v>55</v>
      </c>
      <c r="C132" s="2">
        <v>4</v>
      </c>
      <c r="D132" s="2">
        <v>14200</v>
      </c>
      <c r="E132" s="9">
        <v>253</v>
      </c>
      <c r="F132" s="7" t="s">
        <v>90</v>
      </c>
      <c r="G132" s="5" t="s">
        <v>227</v>
      </c>
      <c r="H132" s="5" t="s">
        <v>236</v>
      </c>
      <c r="I132" s="5" t="s">
        <v>89</v>
      </c>
      <c r="J132">
        <v>38.313122999999997</v>
      </c>
      <c r="K132">
        <v>-5.2804799999999998</v>
      </c>
    </row>
    <row r="133" spans="1:11" ht="15" thickBot="1" x14ac:dyDescent="0.35">
      <c r="A133" s="1">
        <v>1405301</v>
      </c>
      <c r="B133" s="2" t="s">
        <v>56</v>
      </c>
      <c r="C133" s="2">
        <v>1</v>
      </c>
      <c r="D133" s="2">
        <v>14730</v>
      </c>
      <c r="E133" s="9">
        <v>3491</v>
      </c>
      <c r="F133" s="7" t="s">
        <v>133</v>
      </c>
      <c r="G133" s="5" t="s">
        <v>201</v>
      </c>
      <c r="H133" s="5" t="s">
        <v>252</v>
      </c>
      <c r="I133" s="5" t="s">
        <v>89</v>
      </c>
      <c r="J133">
        <v>37.803840000000001</v>
      </c>
      <c r="K133">
        <v>-5.1030939999999996</v>
      </c>
    </row>
    <row r="134" spans="1:11" ht="15" thickBot="1" x14ac:dyDescent="0.35">
      <c r="A134" s="1">
        <v>1405302</v>
      </c>
      <c r="B134" s="2" t="s">
        <v>56</v>
      </c>
      <c r="C134" s="2">
        <v>2</v>
      </c>
      <c r="D134" s="2">
        <v>14730</v>
      </c>
      <c r="E134" s="9">
        <v>3668</v>
      </c>
      <c r="F134" s="7" t="s">
        <v>86</v>
      </c>
      <c r="G134" s="5" t="s">
        <v>182</v>
      </c>
      <c r="H134" s="5" t="s">
        <v>233</v>
      </c>
      <c r="I134" s="5" t="s">
        <v>89</v>
      </c>
      <c r="J134">
        <v>37.838028999999999</v>
      </c>
      <c r="K134">
        <v>-5.117928</v>
      </c>
    </row>
    <row r="135" spans="1:11" ht="15" thickBot="1" x14ac:dyDescent="0.35">
      <c r="A135" s="1">
        <v>1405401</v>
      </c>
      <c r="B135" s="2" t="s">
        <v>57</v>
      </c>
      <c r="C135" s="2">
        <v>1</v>
      </c>
      <c r="D135" s="2">
        <v>14400</v>
      </c>
      <c r="E135" s="9">
        <v>4617</v>
      </c>
      <c r="F135" s="7" t="s">
        <v>173</v>
      </c>
      <c r="G135" s="5" t="s">
        <v>244</v>
      </c>
      <c r="H135" s="5" t="s">
        <v>113</v>
      </c>
      <c r="I135" s="5" t="s">
        <v>98</v>
      </c>
      <c r="J135">
        <v>38.382102000000003</v>
      </c>
      <c r="K135">
        <v>-4.845351</v>
      </c>
    </row>
    <row r="136" spans="1:11" ht="15" thickBot="1" x14ac:dyDescent="0.35">
      <c r="A136" s="1">
        <v>1405402</v>
      </c>
      <c r="B136" s="2" t="s">
        <v>57</v>
      </c>
      <c r="C136" s="2">
        <v>2</v>
      </c>
      <c r="D136" s="2">
        <v>14400</v>
      </c>
      <c r="E136" s="9">
        <v>6286</v>
      </c>
      <c r="F136" s="7" t="s">
        <v>163</v>
      </c>
      <c r="G136" s="5" t="s">
        <v>87</v>
      </c>
      <c r="H136" s="5" t="s">
        <v>140</v>
      </c>
      <c r="I136" s="5" t="s">
        <v>98</v>
      </c>
      <c r="J136">
        <v>38.373924000000002</v>
      </c>
      <c r="K136">
        <v>-4.8504269999999998</v>
      </c>
    </row>
    <row r="137" spans="1:11" ht="15" thickBot="1" x14ac:dyDescent="0.35">
      <c r="A137" s="1">
        <v>1405403</v>
      </c>
      <c r="B137" s="2" t="s">
        <v>57</v>
      </c>
      <c r="C137" s="2">
        <v>3</v>
      </c>
      <c r="D137" s="2">
        <v>14400</v>
      </c>
      <c r="E137" s="9">
        <v>2170</v>
      </c>
      <c r="F137" s="7" t="s">
        <v>133</v>
      </c>
      <c r="G137" s="5" t="s">
        <v>239</v>
      </c>
      <c r="H137" s="5" t="s">
        <v>180</v>
      </c>
      <c r="I137" s="5" t="s">
        <v>98</v>
      </c>
      <c r="J137">
        <v>38.382553999999999</v>
      </c>
      <c r="K137">
        <v>-4.8569019999999998</v>
      </c>
    </row>
    <row r="138" spans="1:11" ht="15" thickBot="1" x14ac:dyDescent="0.35">
      <c r="A138" s="1">
        <v>1405404</v>
      </c>
      <c r="B138" s="2" t="s">
        <v>57</v>
      </c>
      <c r="C138" s="2">
        <v>4</v>
      </c>
      <c r="D138" s="2">
        <v>14400</v>
      </c>
      <c r="E138" s="9">
        <v>3429</v>
      </c>
      <c r="F138" s="7" t="s">
        <v>133</v>
      </c>
      <c r="G138" s="5" t="s">
        <v>174</v>
      </c>
      <c r="H138" s="5" t="s">
        <v>101</v>
      </c>
      <c r="I138" s="5" t="s">
        <v>89</v>
      </c>
      <c r="J138">
        <v>38.262067999999999</v>
      </c>
      <c r="K138">
        <v>-4.798394</v>
      </c>
    </row>
    <row r="139" spans="1:11" ht="15" thickBot="1" x14ac:dyDescent="0.35">
      <c r="A139" s="1">
        <v>1405501</v>
      </c>
      <c r="B139" s="2" t="s">
        <v>58</v>
      </c>
      <c r="C139" s="2">
        <v>1</v>
      </c>
      <c r="D139" s="2">
        <v>14800</v>
      </c>
      <c r="E139" s="9">
        <v>4412</v>
      </c>
      <c r="F139" s="7" t="s">
        <v>86</v>
      </c>
      <c r="G139" s="5" t="s">
        <v>187</v>
      </c>
      <c r="H139" s="5" t="s">
        <v>122</v>
      </c>
      <c r="I139" s="5" t="s">
        <v>93</v>
      </c>
      <c r="J139">
        <v>37.435932999999999</v>
      </c>
      <c r="K139">
        <v>-4.1908329999999996</v>
      </c>
    </row>
    <row r="140" spans="1:11" ht="15" thickBot="1" x14ac:dyDescent="0.35">
      <c r="A140" s="1">
        <v>1405502</v>
      </c>
      <c r="B140" s="2" t="s">
        <v>58</v>
      </c>
      <c r="C140" s="2">
        <v>2</v>
      </c>
      <c r="D140" s="2">
        <v>14800</v>
      </c>
      <c r="E140" s="9">
        <v>13763</v>
      </c>
      <c r="F140" s="7" t="s">
        <v>86</v>
      </c>
      <c r="G140" s="5" t="s">
        <v>216</v>
      </c>
      <c r="H140" s="5" t="s">
        <v>109</v>
      </c>
      <c r="I140" s="5" t="s">
        <v>89</v>
      </c>
      <c r="J140">
        <v>37.432209999999998</v>
      </c>
      <c r="K140">
        <v>-4.2026579999999996</v>
      </c>
    </row>
    <row r="141" spans="1:11" ht="15" thickBot="1" x14ac:dyDescent="0.35">
      <c r="A141" s="1">
        <v>1405503</v>
      </c>
      <c r="B141" s="2" t="s">
        <v>58</v>
      </c>
      <c r="C141" s="2">
        <v>3</v>
      </c>
      <c r="D141" s="2">
        <v>14800</v>
      </c>
      <c r="E141" s="9">
        <v>1724</v>
      </c>
      <c r="F141" s="7" t="s">
        <v>94</v>
      </c>
      <c r="G141" s="5" t="s">
        <v>188</v>
      </c>
      <c r="H141" s="5" t="s">
        <v>253</v>
      </c>
      <c r="I141" s="5" t="s">
        <v>93</v>
      </c>
      <c r="J141">
        <v>37.385739999999998</v>
      </c>
      <c r="K141">
        <v>-4.2516939999999996</v>
      </c>
    </row>
    <row r="142" spans="1:11" ht="15" thickBot="1" x14ac:dyDescent="0.35">
      <c r="A142" s="1">
        <v>1405504</v>
      </c>
      <c r="B142" s="2" t="s">
        <v>58</v>
      </c>
      <c r="C142" s="2">
        <v>4</v>
      </c>
      <c r="D142" s="2">
        <v>14817</v>
      </c>
      <c r="E142" s="9">
        <v>1857</v>
      </c>
      <c r="F142" s="7" t="s">
        <v>94</v>
      </c>
      <c r="G142" s="5" t="s">
        <v>254</v>
      </c>
      <c r="H142" s="5" t="s">
        <v>222</v>
      </c>
      <c r="I142" s="5" t="s">
        <v>107</v>
      </c>
      <c r="J142">
        <v>37.498668000000002</v>
      </c>
      <c r="K142">
        <v>-4.1828409999999998</v>
      </c>
    </row>
    <row r="143" spans="1:11" ht="15" thickBot="1" x14ac:dyDescent="0.35">
      <c r="A143" s="1">
        <v>1405601</v>
      </c>
      <c r="B143" s="2" t="s">
        <v>59</v>
      </c>
      <c r="C143" s="2">
        <v>1</v>
      </c>
      <c r="D143" s="2">
        <v>14500</v>
      </c>
      <c r="E143" s="9">
        <v>3196</v>
      </c>
      <c r="F143" s="7" t="s">
        <v>90</v>
      </c>
      <c r="G143" s="5" t="s">
        <v>95</v>
      </c>
      <c r="H143" s="5" t="s">
        <v>159</v>
      </c>
      <c r="I143" s="5" t="s">
        <v>98</v>
      </c>
      <c r="J143">
        <v>37.368440999999997</v>
      </c>
      <c r="K143">
        <v>-4.7942330000000002</v>
      </c>
    </row>
    <row r="144" spans="1:11" ht="15" thickBot="1" x14ac:dyDescent="0.35">
      <c r="A144" s="1">
        <v>1405602</v>
      </c>
      <c r="B144" s="2" t="s">
        <v>59</v>
      </c>
      <c r="C144" s="2">
        <v>2</v>
      </c>
      <c r="D144" s="2">
        <v>14500</v>
      </c>
      <c r="E144" s="9">
        <v>3854</v>
      </c>
      <c r="F144" s="7" t="s">
        <v>90</v>
      </c>
      <c r="G144" s="5" t="s">
        <v>255</v>
      </c>
      <c r="H144" s="5" t="s">
        <v>241</v>
      </c>
      <c r="I144" s="5" t="s">
        <v>98</v>
      </c>
      <c r="J144">
        <v>37.383068000000002</v>
      </c>
      <c r="K144">
        <v>-4.7736299999999998</v>
      </c>
    </row>
    <row r="145" spans="1:11" ht="15" thickBot="1" x14ac:dyDescent="0.35">
      <c r="A145" s="1">
        <v>1405603</v>
      </c>
      <c r="B145" s="2" t="s">
        <v>59</v>
      </c>
      <c r="C145" s="2">
        <v>3</v>
      </c>
      <c r="D145" s="2">
        <v>14500</v>
      </c>
      <c r="E145" s="9">
        <v>6841</v>
      </c>
      <c r="F145" s="7" t="s">
        <v>133</v>
      </c>
      <c r="G145" s="5" t="s">
        <v>95</v>
      </c>
      <c r="H145" s="5" t="s">
        <v>233</v>
      </c>
      <c r="I145" s="5" t="s">
        <v>161</v>
      </c>
      <c r="J145">
        <v>37.388568999999997</v>
      </c>
      <c r="K145">
        <v>-4.7739190000000002</v>
      </c>
    </row>
    <row r="146" spans="1:11" ht="15" thickBot="1" x14ac:dyDescent="0.35">
      <c r="A146" s="1">
        <v>1405604</v>
      </c>
      <c r="B146" s="2" t="s">
        <v>59</v>
      </c>
      <c r="C146" s="2">
        <v>4</v>
      </c>
      <c r="D146" s="2">
        <v>14500</v>
      </c>
      <c r="E146" s="9">
        <v>8660</v>
      </c>
      <c r="F146" s="7" t="s">
        <v>90</v>
      </c>
      <c r="G146" s="5" t="s">
        <v>241</v>
      </c>
      <c r="H146" s="5" t="s">
        <v>160</v>
      </c>
      <c r="I146" s="5" t="s">
        <v>98</v>
      </c>
      <c r="J146">
        <v>37.389974000000002</v>
      </c>
      <c r="K146">
        <v>-4.7672369999999997</v>
      </c>
    </row>
    <row r="147" spans="1:11" ht="15" thickBot="1" x14ac:dyDescent="0.35">
      <c r="A147" s="1">
        <v>1405605</v>
      </c>
      <c r="B147" s="2" t="s">
        <v>59</v>
      </c>
      <c r="C147" s="2">
        <v>5</v>
      </c>
      <c r="D147" s="2">
        <v>14510</v>
      </c>
      <c r="E147" s="9">
        <v>7002</v>
      </c>
      <c r="F147" s="7" t="s">
        <v>94</v>
      </c>
      <c r="G147" s="5" t="s">
        <v>168</v>
      </c>
      <c r="H147" s="5" t="s">
        <v>182</v>
      </c>
      <c r="I147" s="5" t="s">
        <v>98</v>
      </c>
      <c r="J147">
        <v>37.432031000000002</v>
      </c>
      <c r="K147">
        <v>-4.7694049999999999</v>
      </c>
    </row>
    <row r="148" spans="1:11" ht="15" thickBot="1" x14ac:dyDescent="0.35">
      <c r="A148" s="1">
        <v>1405701</v>
      </c>
      <c r="B148" s="2" t="s">
        <v>60</v>
      </c>
      <c r="C148" s="2">
        <v>1</v>
      </c>
      <c r="D148" s="2">
        <v>14540</v>
      </c>
      <c r="E148" s="9">
        <v>7416</v>
      </c>
      <c r="F148" s="7" t="s">
        <v>133</v>
      </c>
      <c r="G148" s="5" t="s">
        <v>239</v>
      </c>
      <c r="H148" s="5" t="s">
        <v>243</v>
      </c>
      <c r="I148" s="5" t="s">
        <v>98</v>
      </c>
      <c r="J148">
        <v>37.664529999999999</v>
      </c>
      <c r="K148">
        <v>-4.8171290000000004</v>
      </c>
    </row>
    <row r="149" spans="1:11" ht="15" thickBot="1" x14ac:dyDescent="0.35">
      <c r="A149" s="1">
        <v>1405801</v>
      </c>
      <c r="B149" s="2" t="s">
        <v>61</v>
      </c>
      <c r="C149" s="2">
        <v>1</v>
      </c>
      <c r="D149" s="2">
        <v>14960</v>
      </c>
      <c r="E149" s="9">
        <v>2278</v>
      </c>
      <c r="F149" s="7" t="s">
        <v>90</v>
      </c>
      <c r="G149" s="5" t="s">
        <v>204</v>
      </c>
      <c r="H149" s="5" t="s">
        <v>256</v>
      </c>
      <c r="I149" s="5" t="s">
        <v>93</v>
      </c>
      <c r="J149">
        <v>37.326529999999998</v>
      </c>
      <c r="K149">
        <v>-4.3699700000000004</v>
      </c>
    </row>
    <row r="150" spans="1:11" ht="15" thickBot="1" x14ac:dyDescent="0.35">
      <c r="A150" s="1">
        <v>1405802</v>
      </c>
      <c r="B150" s="2" t="s">
        <v>61</v>
      </c>
      <c r="C150" s="2">
        <v>2</v>
      </c>
      <c r="D150" s="2">
        <v>14960</v>
      </c>
      <c r="E150" s="9">
        <v>784</v>
      </c>
      <c r="F150" s="7" t="s">
        <v>133</v>
      </c>
      <c r="G150" s="5" t="s">
        <v>225</v>
      </c>
      <c r="H150" s="5" t="s">
        <v>209</v>
      </c>
      <c r="I150" s="5" t="s">
        <v>102</v>
      </c>
      <c r="J150">
        <v>37.324057000000003</v>
      </c>
      <c r="K150">
        <v>-4.3702519999999998</v>
      </c>
    </row>
    <row r="151" spans="1:11" ht="15" thickBot="1" x14ac:dyDescent="0.35">
      <c r="A151" s="1">
        <v>1405803</v>
      </c>
      <c r="B151" s="2" t="s">
        <v>61</v>
      </c>
      <c r="C151" s="2">
        <v>3</v>
      </c>
      <c r="D151" s="2">
        <v>14960</v>
      </c>
      <c r="E151" s="9">
        <v>2793</v>
      </c>
      <c r="F151" s="7" t="s">
        <v>86</v>
      </c>
      <c r="G151" s="5" t="s">
        <v>114</v>
      </c>
      <c r="H151" s="5" t="s">
        <v>104</v>
      </c>
      <c r="I151" s="5" t="s">
        <v>93</v>
      </c>
      <c r="J151">
        <v>37.327388999999997</v>
      </c>
      <c r="K151">
        <v>-4.373367</v>
      </c>
    </row>
    <row r="152" spans="1:11" ht="15" thickBot="1" x14ac:dyDescent="0.35">
      <c r="A152" s="1">
        <v>1405804</v>
      </c>
      <c r="B152" s="2" t="s">
        <v>61</v>
      </c>
      <c r="C152" s="2">
        <v>4</v>
      </c>
      <c r="D152" s="2">
        <v>14960</v>
      </c>
      <c r="E152" s="9">
        <v>1623</v>
      </c>
      <c r="F152" s="7" t="s">
        <v>94</v>
      </c>
      <c r="G152" s="5" t="s">
        <v>187</v>
      </c>
      <c r="H152" s="5" t="s">
        <v>175</v>
      </c>
      <c r="I152" s="5" t="s">
        <v>93</v>
      </c>
      <c r="J152">
        <v>37.328032</v>
      </c>
      <c r="K152">
        <v>-4.3659309999999998</v>
      </c>
    </row>
    <row r="153" spans="1:11" ht="15" thickBot="1" x14ac:dyDescent="0.35">
      <c r="A153" s="1">
        <v>1405805</v>
      </c>
      <c r="B153" s="2" t="s">
        <v>61</v>
      </c>
      <c r="C153" s="2">
        <v>5</v>
      </c>
      <c r="D153" s="2">
        <v>14960</v>
      </c>
      <c r="E153" s="9">
        <v>2245</v>
      </c>
      <c r="F153" s="7" t="s">
        <v>86</v>
      </c>
      <c r="G153" s="5" t="s">
        <v>201</v>
      </c>
      <c r="H153" s="5" t="s">
        <v>146</v>
      </c>
      <c r="I153" s="5" t="s">
        <v>93</v>
      </c>
      <c r="J153">
        <v>37.348371999999998</v>
      </c>
      <c r="K153">
        <v>-4.368487</v>
      </c>
    </row>
    <row r="154" spans="1:11" ht="15" thickBot="1" x14ac:dyDescent="0.35">
      <c r="A154" s="1">
        <v>1405901</v>
      </c>
      <c r="B154" s="2" t="s">
        <v>62</v>
      </c>
      <c r="C154" s="2">
        <v>1</v>
      </c>
      <c r="D154" s="2">
        <v>14150</v>
      </c>
      <c r="E154" s="9">
        <v>854</v>
      </c>
      <c r="F154" s="7" t="s">
        <v>99</v>
      </c>
      <c r="G154" s="5" t="s">
        <v>191</v>
      </c>
      <c r="H154" s="5" t="s">
        <v>189</v>
      </c>
      <c r="I154" s="5" t="s">
        <v>93</v>
      </c>
      <c r="J154">
        <v>37.667093000000001</v>
      </c>
      <c r="K154">
        <v>-4.832147</v>
      </c>
    </row>
    <row r="155" spans="1:11" ht="15" thickBot="1" x14ac:dyDescent="0.35">
      <c r="A155" s="1">
        <v>1406101</v>
      </c>
      <c r="B155" s="2" t="s">
        <v>64</v>
      </c>
      <c r="C155" s="2">
        <v>1</v>
      </c>
      <c r="D155" s="2">
        <v>14491</v>
      </c>
      <c r="E155" s="9">
        <v>669</v>
      </c>
      <c r="F155" s="7" t="s">
        <v>86</v>
      </c>
      <c r="G155" s="5" t="s">
        <v>257</v>
      </c>
      <c r="H155" s="5" t="s">
        <v>258</v>
      </c>
      <c r="I155" s="5" t="s">
        <v>207</v>
      </c>
      <c r="J155">
        <v>38.605998</v>
      </c>
      <c r="K155">
        <v>-4.8975369999999998</v>
      </c>
    </row>
    <row r="156" spans="1:11" ht="15" thickBot="1" x14ac:dyDescent="0.35">
      <c r="A156" s="1">
        <v>1406001</v>
      </c>
      <c r="B156" s="2" t="s">
        <v>63</v>
      </c>
      <c r="C156" s="2">
        <v>1</v>
      </c>
      <c r="D156" s="2">
        <v>14546</v>
      </c>
      <c r="E156" s="9">
        <v>1632</v>
      </c>
      <c r="F156" s="7" t="s">
        <v>86</v>
      </c>
      <c r="G156" s="5" t="s">
        <v>109</v>
      </c>
      <c r="H156" s="5" t="s">
        <v>167</v>
      </c>
      <c r="I156" s="5" t="s">
        <v>161</v>
      </c>
      <c r="J156">
        <v>37.533259999999999</v>
      </c>
      <c r="K156">
        <v>-4.8522629999999998</v>
      </c>
    </row>
    <row r="157" spans="1:11" ht="15" thickBot="1" x14ac:dyDescent="0.35">
      <c r="A157" s="1">
        <v>1406002</v>
      </c>
      <c r="B157" s="2" t="s">
        <v>63</v>
      </c>
      <c r="C157" s="2">
        <v>2</v>
      </c>
      <c r="D157" s="2">
        <v>14546</v>
      </c>
      <c r="E157" s="9">
        <v>3035</v>
      </c>
      <c r="F157" s="7" t="s">
        <v>133</v>
      </c>
      <c r="G157" s="5" t="s">
        <v>109</v>
      </c>
      <c r="H157" s="5" t="s">
        <v>199</v>
      </c>
      <c r="I157" s="5" t="s">
        <v>235</v>
      </c>
      <c r="J157">
        <v>37.561742000000002</v>
      </c>
      <c r="K157">
        <v>-4.841596</v>
      </c>
    </row>
    <row r="158" spans="1:11" ht="15" thickBot="1" x14ac:dyDescent="0.35">
      <c r="A158" s="1">
        <v>1406201</v>
      </c>
      <c r="B158" s="2" t="s">
        <v>65</v>
      </c>
      <c r="C158" s="2">
        <v>1</v>
      </c>
      <c r="D158" s="2">
        <v>14410</v>
      </c>
      <c r="E158" s="9">
        <v>960</v>
      </c>
      <c r="F158" s="7" t="s">
        <v>133</v>
      </c>
      <c r="G158" s="5" t="s">
        <v>214</v>
      </c>
      <c r="H158" s="5" t="s">
        <v>259</v>
      </c>
      <c r="I158" s="5" t="s">
        <v>107</v>
      </c>
      <c r="J158">
        <v>38.479978000000003</v>
      </c>
      <c r="K158">
        <v>-4.6627280000000004</v>
      </c>
    </row>
    <row r="159" spans="1:11" ht="15" thickBot="1" x14ac:dyDescent="0.35">
      <c r="A159" s="1">
        <v>1406202</v>
      </c>
      <c r="B159" s="2" t="s">
        <v>65</v>
      </c>
      <c r="C159" s="2">
        <v>2</v>
      </c>
      <c r="D159" s="2">
        <v>14410</v>
      </c>
      <c r="E159" s="9">
        <v>80</v>
      </c>
      <c r="F159" s="7" t="s">
        <v>133</v>
      </c>
      <c r="G159" s="5" t="s">
        <v>214</v>
      </c>
      <c r="H159" s="5" t="s">
        <v>259</v>
      </c>
      <c r="I159" s="5" t="s">
        <v>107</v>
      </c>
      <c r="J159">
        <v>38.462479000000002</v>
      </c>
      <c r="K159">
        <v>-4.6348029999999998</v>
      </c>
    </row>
    <row r="160" spans="1:11" ht="15" thickBot="1" x14ac:dyDescent="0.35">
      <c r="A160" s="1">
        <v>1406301</v>
      </c>
      <c r="B160" s="2" t="s">
        <v>66</v>
      </c>
      <c r="C160" s="2">
        <v>1</v>
      </c>
      <c r="D160" s="2">
        <v>14670</v>
      </c>
      <c r="E160" s="9">
        <v>1041</v>
      </c>
      <c r="F160" s="7" t="s">
        <v>94</v>
      </c>
      <c r="G160" s="5" t="s">
        <v>105</v>
      </c>
      <c r="H160" s="5" t="s">
        <v>260</v>
      </c>
      <c r="I160" s="5" t="s">
        <v>172</v>
      </c>
      <c r="J160">
        <v>37.769758000000003</v>
      </c>
      <c r="K160">
        <v>-4.2411430000000001</v>
      </c>
    </row>
    <row r="161" spans="1:11" ht="15" thickBot="1" x14ac:dyDescent="0.35">
      <c r="A161" s="1">
        <v>1406401</v>
      </c>
      <c r="B161" s="2" t="s">
        <v>67</v>
      </c>
      <c r="C161" s="2">
        <v>1</v>
      </c>
      <c r="D161" s="2">
        <v>14206</v>
      </c>
      <c r="E161" s="9">
        <v>361</v>
      </c>
      <c r="F161" s="7" t="s">
        <v>94</v>
      </c>
      <c r="G161" s="5" t="s">
        <v>261</v>
      </c>
      <c r="H161" s="5" t="s">
        <v>262</v>
      </c>
      <c r="I161" s="5" t="s">
        <v>107</v>
      </c>
      <c r="J161">
        <v>38.458993999999997</v>
      </c>
      <c r="K161">
        <v>-5.3751300000000004</v>
      </c>
    </row>
    <row r="162" spans="1:11" ht="15" thickBot="1" x14ac:dyDescent="0.35">
      <c r="A162" s="1">
        <v>1406501</v>
      </c>
      <c r="B162" s="2" t="s">
        <v>68</v>
      </c>
      <c r="C162" s="2">
        <v>1</v>
      </c>
      <c r="D162" s="2">
        <v>14140</v>
      </c>
      <c r="E162" s="9">
        <v>2328</v>
      </c>
      <c r="F162" s="7" t="s">
        <v>133</v>
      </c>
      <c r="G162" s="5" t="s">
        <v>244</v>
      </c>
      <c r="H162" s="5" t="s">
        <v>159</v>
      </c>
      <c r="I162" s="5" t="s">
        <v>89</v>
      </c>
      <c r="J162">
        <v>37.696444</v>
      </c>
      <c r="K162">
        <v>-4.8546329999999998</v>
      </c>
    </row>
    <row r="163" spans="1:11" ht="15" thickBot="1" x14ac:dyDescent="0.35">
      <c r="A163" s="1">
        <v>1406601</v>
      </c>
      <c r="B163" s="2" t="s">
        <v>69</v>
      </c>
      <c r="C163" s="2">
        <v>1</v>
      </c>
      <c r="D163" s="2">
        <v>14640</v>
      </c>
      <c r="E163" s="9">
        <v>3768</v>
      </c>
      <c r="F163" s="7" t="s">
        <v>86</v>
      </c>
      <c r="G163" s="5" t="s">
        <v>113</v>
      </c>
      <c r="H163" s="5" t="s">
        <v>108</v>
      </c>
      <c r="I163" s="5" t="s">
        <v>161</v>
      </c>
      <c r="J163">
        <v>37.997787000000002</v>
      </c>
      <c r="K163">
        <v>-4.3099220000000003</v>
      </c>
    </row>
    <row r="164" spans="1:11" ht="15" thickBot="1" x14ac:dyDescent="0.35">
      <c r="A164" s="1">
        <v>1406602</v>
      </c>
      <c r="B164" s="2" t="s">
        <v>69</v>
      </c>
      <c r="C164" s="2">
        <v>2</v>
      </c>
      <c r="D164" s="2">
        <v>14640</v>
      </c>
      <c r="E164" s="9">
        <v>3092</v>
      </c>
      <c r="F164" s="7" t="s">
        <v>90</v>
      </c>
      <c r="G164" s="5" t="s">
        <v>174</v>
      </c>
      <c r="H164" s="5" t="s">
        <v>193</v>
      </c>
      <c r="I164" s="5" t="s">
        <v>161</v>
      </c>
      <c r="J164">
        <v>37.973863999999999</v>
      </c>
      <c r="K164">
        <v>-4.2770450000000002</v>
      </c>
    </row>
    <row r="165" spans="1:11" ht="15" thickBot="1" x14ac:dyDescent="0.35">
      <c r="A165" s="1">
        <v>1406701</v>
      </c>
      <c r="B165" s="2" t="s">
        <v>70</v>
      </c>
      <c r="C165" s="2">
        <v>1</v>
      </c>
      <c r="D165" s="2">
        <v>14420</v>
      </c>
      <c r="E165" s="9">
        <v>3001</v>
      </c>
      <c r="F165" s="7" t="s">
        <v>99</v>
      </c>
      <c r="G165" s="5" t="s">
        <v>182</v>
      </c>
      <c r="H165" s="5" t="s">
        <v>263</v>
      </c>
      <c r="I165" s="5" t="s">
        <v>98</v>
      </c>
      <c r="J165">
        <v>37.961198000000003</v>
      </c>
      <c r="K165">
        <v>-4.5446720000000003</v>
      </c>
    </row>
    <row r="166" spans="1:11" ht="15" thickBot="1" x14ac:dyDescent="0.35">
      <c r="A166" s="1">
        <v>1406702</v>
      </c>
      <c r="B166" s="2" t="s">
        <v>70</v>
      </c>
      <c r="C166" s="2">
        <v>2</v>
      </c>
      <c r="D166" s="2">
        <v>14420</v>
      </c>
      <c r="E166" s="9">
        <v>1874</v>
      </c>
      <c r="F166" s="7" t="s">
        <v>99</v>
      </c>
      <c r="G166" s="5" t="s">
        <v>218</v>
      </c>
      <c r="H166" s="5" t="s">
        <v>264</v>
      </c>
      <c r="I166" s="5" t="s">
        <v>235</v>
      </c>
      <c r="J166">
        <v>37.942732999999997</v>
      </c>
      <c r="K166">
        <v>-4.5581610000000001</v>
      </c>
    </row>
    <row r="167" spans="1:11" ht="15" thickBot="1" x14ac:dyDescent="0.35">
      <c r="A167" s="1">
        <v>1406801</v>
      </c>
      <c r="B167" s="2" t="s">
        <v>71</v>
      </c>
      <c r="C167" s="2">
        <v>1</v>
      </c>
      <c r="D167" s="2">
        <v>14210</v>
      </c>
      <c r="E167" s="9">
        <v>574</v>
      </c>
      <c r="F167" s="7" t="s">
        <v>133</v>
      </c>
      <c r="G167" s="5" t="s">
        <v>232</v>
      </c>
      <c r="H167" s="5" t="s">
        <v>265</v>
      </c>
      <c r="I167" s="5" t="s">
        <v>172</v>
      </c>
      <c r="J167">
        <v>38.138604999999998</v>
      </c>
      <c r="K167">
        <v>-4.8998350000000004</v>
      </c>
    </row>
    <row r="168" spans="1:11" ht="15" thickBot="1" x14ac:dyDescent="0.35">
      <c r="A168" s="1">
        <v>1406901</v>
      </c>
      <c r="B168" s="2" t="s">
        <v>72</v>
      </c>
      <c r="C168" s="2">
        <v>1</v>
      </c>
      <c r="D168" s="2">
        <v>14440</v>
      </c>
      <c r="E168" s="9">
        <v>2420</v>
      </c>
      <c r="F168" s="7" t="s">
        <v>90</v>
      </c>
      <c r="G168" s="5" t="s">
        <v>151</v>
      </c>
      <c r="H168" s="5" t="s">
        <v>150</v>
      </c>
      <c r="I168" s="5" t="s">
        <v>89</v>
      </c>
      <c r="J168">
        <v>38.324553000000002</v>
      </c>
      <c r="K168">
        <v>-4.6277699999999999</v>
      </c>
    </row>
    <row r="169" spans="1:11" ht="15" thickBot="1" x14ac:dyDescent="0.35">
      <c r="A169" s="1">
        <v>1406902</v>
      </c>
      <c r="B169" s="2" t="s">
        <v>72</v>
      </c>
      <c r="C169" s="2">
        <v>2</v>
      </c>
      <c r="D169" s="2">
        <v>14440</v>
      </c>
      <c r="E169" s="9">
        <v>2797</v>
      </c>
      <c r="F169" s="7" t="s">
        <v>133</v>
      </c>
      <c r="G169" s="5" t="s">
        <v>157</v>
      </c>
      <c r="H169" s="5" t="s">
        <v>127</v>
      </c>
      <c r="I169" s="5" t="s">
        <v>93</v>
      </c>
      <c r="J169">
        <v>38.247334000000002</v>
      </c>
      <c r="K169">
        <v>-4.6941050000000004</v>
      </c>
    </row>
    <row r="170" spans="1:11" ht="15" thickBot="1" x14ac:dyDescent="0.35">
      <c r="A170" s="1">
        <v>1406903</v>
      </c>
      <c r="B170" s="2" t="s">
        <v>72</v>
      </c>
      <c r="C170" s="2">
        <v>3</v>
      </c>
      <c r="D170" s="2">
        <v>14440</v>
      </c>
      <c r="E170" s="9">
        <v>1755</v>
      </c>
      <c r="F170" s="7" t="s">
        <v>115</v>
      </c>
      <c r="G170" s="5" t="s">
        <v>217</v>
      </c>
      <c r="H170" s="5" t="s">
        <v>175</v>
      </c>
      <c r="I170" s="5" t="s">
        <v>93</v>
      </c>
      <c r="J170">
        <v>38.198546</v>
      </c>
      <c r="K170">
        <v>-4.6511449999999996</v>
      </c>
    </row>
    <row r="171" spans="1:11" ht="15" thickBot="1" x14ac:dyDescent="0.35">
      <c r="A171" s="1">
        <v>1406904</v>
      </c>
      <c r="B171" s="2" t="s">
        <v>72</v>
      </c>
      <c r="C171" s="2">
        <v>4</v>
      </c>
      <c r="D171" s="2">
        <v>14440</v>
      </c>
      <c r="E171" s="9">
        <v>1228</v>
      </c>
      <c r="F171" s="7" t="s">
        <v>86</v>
      </c>
      <c r="G171" s="5" t="s">
        <v>187</v>
      </c>
      <c r="H171" s="5" t="s">
        <v>155</v>
      </c>
      <c r="I171" s="5" t="s">
        <v>89</v>
      </c>
      <c r="J171">
        <v>38.316242000000003</v>
      </c>
      <c r="K171">
        <v>-4.5565879999999996</v>
      </c>
    </row>
    <row r="172" spans="1:11" ht="15" thickBot="1" x14ac:dyDescent="0.35">
      <c r="A172" s="1">
        <v>1407001</v>
      </c>
      <c r="B172" s="2" t="s">
        <v>73</v>
      </c>
      <c r="C172" s="2">
        <v>1</v>
      </c>
      <c r="D172" s="2">
        <v>14439</v>
      </c>
      <c r="E172" s="9">
        <v>684</v>
      </c>
      <c r="F172" s="7" t="s">
        <v>133</v>
      </c>
      <c r="G172" s="5" t="s">
        <v>136</v>
      </c>
      <c r="H172" s="5" t="s">
        <v>260</v>
      </c>
      <c r="I172" s="5" t="s">
        <v>93</v>
      </c>
      <c r="J172">
        <v>38.338723999999999</v>
      </c>
      <c r="K172">
        <v>-5.0421420000000001</v>
      </c>
    </row>
    <row r="173" spans="1:11" ht="15" thickBot="1" x14ac:dyDescent="0.35">
      <c r="A173" s="1">
        <v>1407002</v>
      </c>
      <c r="B173" s="2" t="s">
        <v>73</v>
      </c>
      <c r="C173" s="2">
        <v>2</v>
      </c>
      <c r="D173" s="2">
        <v>14439</v>
      </c>
      <c r="E173" s="9">
        <v>659</v>
      </c>
      <c r="F173" s="7" t="s">
        <v>90</v>
      </c>
      <c r="G173" s="5" t="s">
        <v>266</v>
      </c>
      <c r="H173" s="5" t="s">
        <v>267</v>
      </c>
      <c r="I173" s="5" t="s">
        <v>102</v>
      </c>
      <c r="J173">
        <v>38.399622000000001</v>
      </c>
      <c r="K173">
        <v>-5.0216310000000002</v>
      </c>
    </row>
    <row r="174" spans="1:11" ht="15" thickBot="1" x14ac:dyDescent="0.35">
      <c r="A174" s="1">
        <v>1407101</v>
      </c>
      <c r="B174" s="2" t="s">
        <v>74</v>
      </c>
      <c r="C174" s="2">
        <v>1</v>
      </c>
      <c r="D174" s="2">
        <v>14230</v>
      </c>
      <c r="E174" s="9">
        <v>965</v>
      </c>
      <c r="F174" s="7" t="s">
        <v>86</v>
      </c>
      <c r="G174" s="5" t="s">
        <v>121</v>
      </c>
      <c r="H174" s="5" t="s">
        <v>268</v>
      </c>
      <c r="I174" s="5" t="s">
        <v>107</v>
      </c>
      <c r="J174">
        <v>38.143661999999999</v>
      </c>
      <c r="K174">
        <v>-5.1893000000000002</v>
      </c>
    </row>
    <row r="175" spans="1:11" ht="15" thickBot="1" x14ac:dyDescent="0.35">
      <c r="A175" s="1">
        <v>1407201</v>
      </c>
      <c r="B175" s="2" t="s">
        <v>75</v>
      </c>
      <c r="C175" s="2">
        <v>1</v>
      </c>
      <c r="D175" s="2">
        <v>14411</v>
      </c>
      <c r="E175" s="9">
        <v>1054</v>
      </c>
      <c r="F175" s="7" t="s">
        <v>90</v>
      </c>
      <c r="G175" s="5" t="s">
        <v>269</v>
      </c>
      <c r="H175" s="5" t="s">
        <v>270</v>
      </c>
      <c r="I175" s="5" t="s">
        <v>207</v>
      </c>
      <c r="J175">
        <v>38.455047999999998</v>
      </c>
      <c r="K175">
        <v>-4.975098</v>
      </c>
    </row>
    <row r="176" spans="1:11" ht="15" thickBot="1" x14ac:dyDescent="0.35">
      <c r="A176" s="1">
        <v>1407301</v>
      </c>
      <c r="B176" s="2" t="s">
        <v>76</v>
      </c>
      <c r="C176" s="2">
        <v>1</v>
      </c>
      <c r="D176" s="2">
        <v>14300</v>
      </c>
      <c r="E176" s="9">
        <v>1534</v>
      </c>
      <c r="F176" s="7" t="s">
        <v>94</v>
      </c>
      <c r="G176" s="5" t="s">
        <v>220</v>
      </c>
      <c r="H176" s="5" t="s">
        <v>253</v>
      </c>
      <c r="I176" s="5" t="s">
        <v>102</v>
      </c>
      <c r="J176">
        <v>38.084885999999997</v>
      </c>
      <c r="K176">
        <v>-4.9793960000000004</v>
      </c>
    </row>
    <row r="177" spans="1:11" ht="15" thickBot="1" x14ac:dyDescent="0.35">
      <c r="A177" s="1">
        <v>1407302</v>
      </c>
      <c r="B177" s="2" t="s">
        <v>76</v>
      </c>
      <c r="C177" s="2">
        <v>2</v>
      </c>
      <c r="D177" s="2">
        <v>14300</v>
      </c>
      <c r="E177" s="9">
        <v>1526</v>
      </c>
      <c r="F177" s="7" t="s">
        <v>86</v>
      </c>
      <c r="G177" s="5" t="s">
        <v>136</v>
      </c>
      <c r="H177" s="5" t="s">
        <v>248</v>
      </c>
      <c r="I177" s="5" t="s">
        <v>102</v>
      </c>
      <c r="J177">
        <v>38.011490999999999</v>
      </c>
      <c r="K177">
        <v>-5.0083029999999997</v>
      </c>
    </row>
    <row r="178" spans="1:11" ht="15" thickBot="1" x14ac:dyDescent="0.35">
      <c r="A178" s="1">
        <v>1407401</v>
      </c>
      <c r="B178" s="2" t="s">
        <v>77</v>
      </c>
      <c r="C178" s="2">
        <v>1</v>
      </c>
      <c r="D178" s="2">
        <v>14470</v>
      </c>
      <c r="E178" s="9">
        <v>1244</v>
      </c>
      <c r="F178" s="7" t="s">
        <v>99</v>
      </c>
      <c r="G178" s="5" t="s">
        <v>271</v>
      </c>
      <c r="H178" s="5" t="s">
        <v>209</v>
      </c>
      <c r="I178" s="5" t="s">
        <v>93</v>
      </c>
      <c r="J178">
        <v>38.519996999999996</v>
      </c>
      <c r="K178">
        <v>-4.8996709999999997</v>
      </c>
    </row>
    <row r="179" spans="1:11" ht="15" thickBot="1" x14ac:dyDescent="0.35">
      <c r="A179" s="1">
        <v>1407402</v>
      </c>
      <c r="B179" s="2" t="s">
        <v>77</v>
      </c>
      <c r="C179" s="2">
        <v>2</v>
      </c>
      <c r="D179" s="2">
        <v>14470</v>
      </c>
      <c r="E179" s="9">
        <v>1201</v>
      </c>
      <c r="F179" s="7" t="s">
        <v>86</v>
      </c>
      <c r="G179" s="5" t="s">
        <v>188</v>
      </c>
      <c r="H179" s="5" t="s">
        <v>155</v>
      </c>
      <c r="I179" s="5" t="s">
        <v>102</v>
      </c>
      <c r="J179">
        <v>38.480096000000003</v>
      </c>
      <c r="K179">
        <v>-4.9571579999999997</v>
      </c>
    </row>
    <row r="180" spans="1:11" ht="15" thickBot="1" x14ac:dyDescent="0.35">
      <c r="A180" s="1">
        <v>1407501</v>
      </c>
      <c r="B180" s="2" t="s">
        <v>78</v>
      </c>
      <c r="C180" s="2">
        <v>1</v>
      </c>
      <c r="D180" s="2">
        <v>14870</v>
      </c>
      <c r="E180" s="9">
        <v>606</v>
      </c>
      <c r="F180" s="7" t="s">
        <v>133</v>
      </c>
      <c r="G180" s="5" t="s">
        <v>272</v>
      </c>
      <c r="H180" s="5" t="s">
        <v>273</v>
      </c>
      <c r="I180" s="5" t="s">
        <v>107</v>
      </c>
      <c r="J180">
        <v>37.526778999999998</v>
      </c>
      <c r="K180">
        <v>-4.3325529999999999</v>
      </c>
    </row>
  </sheetData>
  <autoFilter ref="A1:I180" xr:uid="{A496AE72-4B19-4275-9DC9-50AFE10C273D}">
    <sortState xmlns:xlrd2="http://schemas.microsoft.com/office/spreadsheetml/2017/richdata2" ref="A2:I180">
      <sortCondition ref="B1:B180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0B1F-1ADA-4579-9618-842FEE187350}">
  <dimension ref="A1:K133"/>
  <sheetViews>
    <sheetView workbookViewId="0">
      <selection activeCell="J133" sqref="J2:K133"/>
    </sheetView>
  </sheetViews>
  <sheetFormatPr baseColWidth="10" defaultColWidth="19.44140625" defaultRowHeight="14.4" x14ac:dyDescent="0.3"/>
  <cols>
    <col min="1" max="1" width="13.6640625" bestFit="1" customWidth="1"/>
    <col min="2" max="2" width="23.109375" bestFit="1" customWidth="1"/>
    <col min="3" max="3" width="9" bestFit="1" customWidth="1"/>
    <col min="4" max="4" width="13" bestFit="1" customWidth="1"/>
    <col min="5" max="5" width="10.5546875" bestFit="1" customWidth="1"/>
    <col min="6" max="6" width="23.6640625" customWidth="1"/>
    <col min="7" max="7" width="15.33203125" bestFit="1" customWidth="1"/>
    <col min="8" max="8" width="15.21875" bestFit="1" customWidth="1"/>
  </cols>
  <sheetData>
    <row r="1" spans="1:11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82</v>
      </c>
      <c r="F1" s="4" t="s">
        <v>85</v>
      </c>
      <c r="G1" s="4" t="s">
        <v>83</v>
      </c>
      <c r="H1" s="4" t="s">
        <v>84</v>
      </c>
      <c r="I1" s="4" t="s">
        <v>81</v>
      </c>
    </row>
    <row r="2" spans="1:11" x14ac:dyDescent="0.3">
      <c r="A2">
        <v>2100101</v>
      </c>
      <c r="B2" t="s">
        <v>275</v>
      </c>
      <c r="C2">
        <v>1</v>
      </c>
      <c r="D2">
        <v>21340</v>
      </c>
      <c r="E2">
        <v>792</v>
      </c>
      <c r="F2" t="s">
        <v>94</v>
      </c>
      <c r="G2" t="s">
        <v>229</v>
      </c>
      <c r="H2" t="s">
        <v>355</v>
      </c>
      <c r="I2" t="s">
        <v>102</v>
      </c>
      <c r="J2">
        <v>37.849561000000001</v>
      </c>
      <c r="K2">
        <v>-6.6557810000000002</v>
      </c>
    </row>
    <row r="3" spans="1:11" x14ac:dyDescent="0.3">
      <c r="A3">
        <v>2100201</v>
      </c>
      <c r="B3" t="s">
        <v>276</v>
      </c>
      <c r="C3">
        <v>1</v>
      </c>
      <c r="D3">
        <v>21110</v>
      </c>
      <c r="E3">
        <v>11499</v>
      </c>
      <c r="F3" t="s">
        <v>110</v>
      </c>
      <c r="G3" t="s">
        <v>139</v>
      </c>
      <c r="H3" t="s">
        <v>356</v>
      </c>
      <c r="I3" t="s">
        <v>357</v>
      </c>
      <c r="J3">
        <v>37.271653000000001</v>
      </c>
      <c r="K3">
        <v>-7.0237759999999998</v>
      </c>
    </row>
    <row r="4" spans="1:11" x14ac:dyDescent="0.3">
      <c r="A4">
        <v>2100202</v>
      </c>
      <c r="B4" t="s">
        <v>276</v>
      </c>
      <c r="C4">
        <v>2</v>
      </c>
      <c r="D4">
        <v>21120</v>
      </c>
      <c r="E4">
        <v>10962</v>
      </c>
      <c r="F4" t="s">
        <v>183</v>
      </c>
      <c r="G4" t="s">
        <v>152</v>
      </c>
      <c r="H4" t="s">
        <v>123</v>
      </c>
      <c r="I4" t="s">
        <v>358</v>
      </c>
      <c r="J4">
        <v>37.288111999999998</v>
      </c>
      <c r="K4">
        <v>-6.9837740000000004</v>
      </c>
    </row>
    <row r="5" spans="1:11" x14ac:dyDescent="0.3">
      <c r="A5">
        <v>2100301</v>
      </c>
      <c r="B5" t="s">
        <v>277</v>
      </c>
      <c r="C5">
        <v>1</v>
      </c>
      <c r="D5">
        <v>21593</v>
      </c>
      <c r="E5">
        <v>857</v>
      </c>
      <c r="F5" t="s">
        <v>359</v>
      </c>
      <c r="G5" t="s">
        <v>100</v>
      </c>
      <c r="H5" t="s">
        <v>180</v>
      </c>
      <c r="I5" t="s">
        <v>102</v>
      </c>
      <c r="J5">
        <v>37.551082000000001</v>
      </c>
      <c r="K5">
        <v>-7.3412160000000002</v>
      </c>
    </row>
    <row r="6" spans="1:11" x14ac:dyDescent="0.3">
      <c r="A6">
        <v>2100401</v>
      </c>
      <c r="B6" t="s">
        <v>278</v>
      </c>
      <c r="C6">
        <v>1</v>
      </c>
      <c r="D6">
        <v>21350</v>
      </c>
      <c r="E6">
        <v>1036</v>
      </c>
      <c r="F6" t="s">
        <v>163</v>
      </c>
      <c r="G6" t="s">
        <v>360</v>
      </c>
      <c r="H6" t="s">
        <v>209</v>
      </c>
      <c r="I6" t="s">
        <v>107</v>
      </c>
      <c r="J6">
        <v>37.868195999999998</v>
      </c>
      <c r="K6">
        <v>-6.8295890000000004</v>
      </c>
    </row>
    <row r="7" spans="1:11" x14ac:dyDescent="0.3">
      <c r="A7">
        <v>2100402</v>
      </c>
      <c r="B7" t="s">
        <v>278</v>
      </c>
      <c r="C7">
        <v>2</v>
      </c>
      <c r="D7">
        <v>21350</v>
      </c>
      <c r="E7">
        <v>717</v>
      </c>
      <c r="F7" t="s">
        <v>163</v>
      </c>
      <c r="G7" t="s">
        <v>361</v>
      </c>
      <c r="H7" t="s">
        <v>362</v>
      </c>
      <c r="I7" t="s">
        <v>172</v>
      </c>
      <c r="J7">
        <v>37.783312000000002</v>
      </c>
      <c r="K7">
        <v>-6.7713330000000003</v>
      </c>
    </row>
    <row r="8" spans="1:11" x14ac:dyDescent="0.3">
      <c r="A8">
        <v>2100501</v>
      </c>
      <c r="B8" t="s">
        <v>279</v>
      </c>
      <c r="C8">
        <v>1</v>
      </c>
      <c r="D8">
        <v>21730</v>
      </c>
      <c r="E8">
        <v>8489</v>
      </c>
      <c r="F8" t="s">
        <v>90</v>
      </c>
      <c r="G8" t="s">
        <v>168</v>
      </c>
      <c r="H8" t="s">
        <v>363</v>
      </c>
      <c r="I8" t="s">
        <v>357</v>
      </c>
      <c r="J8">
        <v>37.242440999999999</v>
      </c>
      <c r="K8">
        <v>-6.4986430000000004</v>
      </c>
    </row>
    <row r="9" spans="1:11" x14ac:dyDescent="0.3">
      <c r="A9">
        <v>2100502</v>
      </c>
      <c r="B9" t="s">
        <v>279</v>
      </c>
      <c r="C9">
        <v>2</v>
      </c>
      <c r="D9">
        <v>21730</v>
      </c>
      <c r="E9">
        <v>3971</v>
      </c>
      <c r="F9" t="s">
        <v>90</v>
      </c>
      <c r="G9" t="s">
        <v>177</v>
      </c>
      <c r="H9" t="s">
        <v>244</v>
      </c>
      <c r="I9" t="s">
        <v>161</v>
      </c>
      <c r="J9">
        <v>37.248896999999999</v>
      </c>
      <c r="K9">
        <v>-6.5743729999999996</v>
      </c>
    </row>
    <row r="10" spans="1:11" x14ac:dyDescent="0.3">
      <c r="A10">
        <v>2100503</v>
      </c>
      <c r="B10" t="s">
        <v>279</v>
      </c>
      <c r="C10">
        <v>3</v>
      </c>
      <c r="D10">
        <v>21750</v>
      </c>
      <c r="E10">
        <v>12244</v>
      </c>
      <c r="F10" t="s">
        <v>86</v>
      </c>
      <c r="G10" t="s">
        <v>160</v>
      </c>
      <c r="H10" t="s">
        <v>364</v>
      </c>
      <c r="I10" t="s">
        <v>89</v>
      </c>
      <c r="J10">
        <v>37.265546999999998</v>
      </c>
      <c r="K10">
        <v>-6.4663190000000004</v>
      </c>
    </row>
    <row r="11" spans="1:11" x14ac:dyDescent="0.3">
      <c r="A11">
        <v>2100601</v>
      </c>
      <c r="B11" t="s">
        <v>280</v>
      </c>
      <c r="C11">
        <v>1</v>
      </c>
      <c r="D11">
        <v>21540</v>
      </c>
      <c r="E11">
        <v>2146</v>
      </c>
      <c r="F11" t="s">
        <v>90</v>
      </c>
      <c r="G11" t="s">
        <v>149</v>
      </c>
      <c r="H11" t="s">
        <v>124</v>
      </c>
      <c r="I11" t="s">
        <v>93</v>
      </c>
      <c r="J11">
        <v>37.546753000000002</v>
      </c>
      <c r="K11">
        <v>-7.1144420000000004</v>
      </c>
    </row>
    <row r="12" spans="1:11" x14ac:dyDescent="0.3">
      <c r="A12">
        <v>2100602</v>
      </c>
      <c r="B12" t="s">
        <v>280</v>
      </c>
      <c r="C12">
        <v>2</v>
      </c>
      <c r="D12">
        <v>21540</v>
      </c>
      <c r="E12">
        <v>1851</v>
      </c>
      <c r="F12" t="s">
        <v>90</v>
      </c>
      <c r="G12" t="s">
        <v>364</v>
      </c>
      <c r="H12" t="s">
        <v>129</v>
      </c>
      <c r="I12" t="s">
        <v>93</v>
      </c>
      <c r="J12">
        <v>37.597738999999997</v>
      </c>
      <c r="K12">
        <v>-7.1172599999999999</v>
      </c>
    </row>
    <row r="13" spans="1:11" x14ac:dyDescent="0.3">
      <c r="A13">
        <v>2100701</v>
      </c>
      <c r="B13" t="s">
        <v>281</v>
      </c>
      <c r="C13">
        <v>1</v>
      </c>
      <c r="D13">
        <v>21200</v>
      </c>
      <c r="E13">
        <v>2045</v>
      </c>
      <c r="F13" t="s">
        <v>86</v>
      </c>
      <c r="G13" t="s">
        <v>166</v>
      </c>
      <c r="H13" t="s">
        <v>365</v>
      </c>
      <c r="I13" t="s">
        <v>89</v>
      </c>
      <c r="J13">
        <v>37.888693000000004</v>
      </c>
      <c r="K13">
        <v>-6.5599600000000002</v>
      </c>
    </row>
    <row r="14" spans="1:11" x14ac:dyDescent="0.3">
      <c r="A14">
        <v>2100702</v>
      </c>
      <c r="B14" t="s">
        <v>281</v>
      </c>
      <c r="C14">
        <v>2</v>
      </c>
      <c r="D14">
        <v>21200</v>
      </c>
      <c r="E14">
        <v>768</v>
      </c>
      <c r="F14" t="s">
        <v>133</v>
      </c>
      <c r="G14" t="s">
        <v>149</v>
      </c>
      <c r="H14" t="s">
        <v>178</v>
      </c>
      <c r="I14" t="s">
        <v>102</v>
      </c>
      <c r="J14">
        <v>37.935760000000002</v>
      </c>
      <c r="K14">
        <v>-6.5607559999999996</v>
      </c>
    </row>
    <row r="15" spans="1:11" x14ac:dyDescent="0.3">
      <c r="A15">
        <v>2100703</v>
      </c>
      <c r="B15" t="s">
        <v>281</v>
      </c>
      <c r="C15">
        <v>3</v>
      </c>
      <c r="D15">
        <v>21200</v>
      </c>
      <c r="E15">
        <v>5499</v>
      </c>
      <c r="F15" t="s">
        <v>163</v>
      </c>
      <c r="G15" t="s">
        <v>104</v>
      </c>
      <c r="H15" t="s">
        <v>111</v>
      </c>
      <c r="I15" t="s">
        <v>98</v>
      </c>
      <c r="J15">
        <v>37.896380999999998</v>
      </c>
      <c r="K15">
        <v>-6.5624359999999999</v>
      </c>
    </row>
    <row r="16" spans="1:11" x14ac:dyDescent="0.3">
      <c r="A16">
        <v>2100801</v>
      </c>
      <c r="B16" t="s">
        <v>282</v>
      </c>
      <c r="C16">
        <v>1</v>
      </c>
      <c r="D16">
        <v>21240</v>
      </c>
      <c r="E16">
        <v>1325</v>
      </c>
      <c r="F16" t="s">
        <v>86</v>
      </c>
      <c r="G16" t="s">
        <v>239</v>
      </c>
      <c r="H16" t="s">
        <v>139</v>
      </c>
      <c r="I16" t="s">
        <v>102</v>
      </c>
      <c r="J16">
        <v>37.982042</v>
      </c>
      <c r="K16">
        <v>-6.8946969999999999</v>
      </c>
    </row>
    <row r="17" spans="1:11" x14ac:dyDescent="0.3">
      <c r="A17">
        <v>2100802</v>
      </c>
      <c r="B17" t="s">
        <v>282</v>
      </c>
      <c r="C17">
        <v>2</v>
      </c>
      <c r="D17">
        <v>21240</v>
      </c>
      <c r="E17">
        <v>972</v>
      </c>
      <c r="F17" t="s">
        <v>86</v>
      </c>
      <c r="G17" t="s">
        <v>125</v>
      </c>
      <c r="H17" t="s">
        <v>355</v>
      </c>
      <c r="I17" t="s">
        <v>93</v>
      </c>
      <c r="J17">
        <v>37.892054999999999</v>
      </c>
      <c r="K17">
        <v>-6.9551480000000003</v>
      </c>
    </row>
    <row r="18" spans="1:11" x14ac:dyDescent="0.3">
      <c r="A18">
        <v>2100803</v>
      </c>
      <c r="B18" t="s">
        <v>282</v>
      </c>
      <c r="C18">
        <v>3</v>
      </c>
      <c r="D18">
        <v>21240</v>
      </c>
      <c r="E18">
        <v>698</v>
      </c>
      <c r="F18" t="s">
        <v>94</v>
      </c>
      <c r="G18" t="s">
        <v>247</v>
      </c>
      <c r="H18" t="s">
        <v>366</v>
      </c>
      <c r="I18" t="s">
        <v>102</v>
      </c>
      <c r="J18">
        <v>37.961064</v>
      </c>
      <c r="K18">
        <v>-7.0385200000000001</v>
      </c>
    </row>
    <row r="19" spans="1:11" x14ac:dyDescent="0.3">
      <c r="A19">
        <v>2100901</v>
      </c>
      <c r="B19" t="s">
        <v>283</v>
      </c>
      <c r="C19">
        <v>1</v>
      </c>
      <c r="D19">
        <v>21280</v>
      </c>
      <c r="E19">
        <v>924</v>
      </c>
      <c r="F19" t="s">
        <v>367</v>
      </c>
      <c r="G19" t="s">
        <v>368</v>
      </c>
      <c r="H19" t="s">
        <v>143</v>
      </c>
      <c r="I19" t="s">
        <v>102</v>
      </c>
      <c r="J19">
        <v>38.007997000000003</v>
      </c>
      <c r="K19">
        <v>-6.4180400000000004</v>
      </c>
    </row>
    <row r="20" spans="1:11" x14ac:dyDescent="0.3">
      <c r="A20">
        <v>2101001</v>
      </c>
      <c r="B20" t="s">
        <v>284</v>
      </c>
      <c r="C20">
        <v>1</v>
      </c>
      <c r="D20">
        <v>21400</v>
      </c>
      <c r="E20">
        <v>9299</v>
      </c>
      <c r="F20" t="s">
        <v>133</v>
      </c>
      <c r="G20" t="s">
        <v>160</v>
      </c>
      <c r="H20" t="s">
        <v>103</v>
      </c>
      <c r="I20" t="s">
        <v>98</v>
      </c>
      <c r="J20">
        <v>37.212598999999997</v>
      </c>
      <c r="K20">
        <v>-7.4101910000000002</v>
      </c>
    </row>
    <row r="21" spans="1:11" x14ac:dyDescent="0.3">
      <c r="A21">
        <v>2101002</v>
      </c>
      <c r="B21" t="s">
        <v>284</v>
      </c>
      <c r="C21">
        <v>2</v>
      </c>
      <c r="D21">
        <v>21400</v>
      </c>
      <c r="E21">
        <v>6295</v>
      </c>
      <c r="F21" t="s">
        <v>86</v>
      </c>
      <c r="G21" t="s">
        <v>369</v>
      </c>
      <c r="H21" t="s">
        <v>159</v>
      </c>
      <c r="I21" t="s">
        <v>161</v>
      </c>
      <c r="J21">
        <v>37.210323000000002</v>
      </c>
      <c r="K21">
        <v>-7.4070260000000001</v>
      </c>
    </row>
    <row r="22" spans="1:11" x14ac:dyDescent="0.3">
      <c r="A22">
        <v>2101003</v>
      </c>
      <c r="B22" t="s">
        <v>284</v>
      </c>
      <c r="C22">
        <v>3</v>
      </c>
      <c r="D22">
        <v>21400</v>
      </c>
      <c r="E22">
        <v>6198</v>
      </c>
      <c r="F22" t="s">
        <v>133</v>
      </c>
      <c r="G22" t="s">
        <v>141</v>
      </c>
      <c r="H22" t="s">
        <v>182</v>
      </c>
      <c r="I22" t="s">
        <v>98</v>
      </c>
      <c r="J22">
        <v>37.188305999999997</v>
      </c>
      <c r="K22">
        <v>-7.3701670000000004</v>
      </c>
    </row>
    <row r="23" spans="1:11" x14ac:dyDescent="0.3">
      <c r="A23">
        <v>2101101</v>
      </c>
      <c r="B23" t="s">
        <v>285</v>
      </c>
      <c r="C23">
        <v>1</v>
      </c>
      <c r="D23">
        <v>21630</v>
      </c>
      <c r="E23">
        <v>4325</v>
      </c>
      <c r="F23" t="s">
        <v>133</v>
      </c>
      <c r="G23" t="s">
        <v>95</v>
      </c>
      <c r="H23" t="s">
        <v>370</v>
      </c>
      <c r="I23" t="s">
        <v>89</v>
      </c>
      <c r="J23">
        <v>37.396819000000001</v>
      </c>
      <c r="K23">
        <v>-6.7672639999999999</v>
      </c>
    </row>
    <row r="24" spans="1:11" x14ac:dyDescent="0.3">
      <c r="A24">
        <v>2101201</v>
      </c>
      <c r="B24" t="s">
        <v>286</v>
      </c>
      <c r="C24">
        <v>1</v>
      </c>
      <c r="D24">
        <v>21647</v>
      </c>
      <c r="E24">
        <v>288</v>
      </c>
      <c r="F24" t="s">
        <v>173</v>
      </c>
      <c r="G24" t="s">
        <v>371</v>
      </c>
      <c r="H24" t="s">
        <v>372</v>
      </c>
      <c r="I24" t="s">
        <v>107</v>
      </c>
      <c r="J24">
        <v>37.566187999999997</v>
      </c>
      <c r="K24">
        <v>-6.5086830000000004</v>
      </c>
    </row>
    <row r="25" spans="1:11" x14ac:dyDescent="0.3">
      <c r="A25">
        <v>2101301</v>
      </c>
      <c r="B25" t="s">
        <v>287</v>
      </c>
      <c r="C25">
        <v>1</v>
      </c>
      <c r="D25">
        <v>21710</v>
      </c>
      <c r="E25">
        <v>3021</v>
      </c>
      <c r="F25" t="s">
        <v>90</v>
      </c>
      <c r="G25" t="s">
        <v>373</v>
      </c>
      <c r="H25" t="s">
        <v>355</v>
      </c>
      <c r="I25" t="s">
        <v>235</v>
      </c>
      <c r="J25">
        <v>37.334288000000001</v>
      </c>
      <c r="K25">
        <v>-6.5378790000000002</v>
      </c>
    </row>
    <row r="26" spans="1:11" x14ac:dyDescent="0.3">
      <c r="A26">
        <v>2101302</v>
      </c>
      <c r="B26" t="s">
        <v>287</v>
      </c>
      <c r="C26">
        <v>2</v>
      </c>
      <c r="D26">
        <v>21710</v>
      </c>
      <c r="E26">
        <v>3049</v>
      </c>
      <c r="F26" t="s">
        <v>86</v>
      </c>
      <c r="G26" t="s">
        <v>138</v>
      </c>
      <c r="H26" t="s">
        <v>201</v>
      </c>
      <c r="I26" t="s">
        <v>357</v>
      </c>
      <c r="J26">
        <v>37.337263999999998</v>
      </c>
      <c r="K26">
        <v>-6.5419130000000001</v>
      </c>
    </row>
    <row r="27" spans="1:11" x14ac:dyDescent="0.3">
      <c r="A27">
        <v>2101303</v>
      </c>
      <c r="B27" t="s">
        <v>287</v>
      </c>
      <c r="C27">
        <v>3</v>
      </c>
      <c r="D27">
        <v>21710</v>
      </c>
      <c r="E27">
        <v>4143</v>
      </c>
      <c r="F27" t="s">
        <v>86</v>
      </c>
      <c r="G27" t="s">
        <v>97</v>
      </c>
      <c r="H27" t="s">
        <v>151</v>
      </c>
      <c r="I27" t="s">
        <v>357</v>
      </c>
      <c r="J27">
        <v>37.353323000000003</v>
      </c>
      <c r="K27">
        <v>-6.5604129999999996</v>
      </c>
    </row>
    <row r="28" spans="1:11" x14ac:dyDescent="0.3">
      <c r="A28">
        <v>2101304</v>
      </c>
      <c r="B28" t="s">
        <v>287</v>
      </c>
      <c r="C28">
        <v>4</v>
      </c>
      <c r="D28">
        <v>21710</v>
      </c>
      <c r="E28">
        <v>2148</v>
      </c>
      <c r="F28" t="s">
        <v>99</v>
      </c>
      <c r="G28" t="s">
        <v>141</v>
      </c>
      <c r="H28" t="s">
        <v>244</v>
      </c>
      <c r="I28" t="s">
        <v>235</v>
      </c>
      <c r="J28">
        <v>37.340499000000001</v>
      </c>
      <c r="K28">
        <v>-6.536397</v>
      </c>
    </row>
    <row r="29" spans="1:11" x14ac:dyDescent="0.3">
      <c r="A29">
        <v>2101305</v>
      </c>
      <c r="B29" t="s">
        <v>287</v>
      </c>
      <c r="C29">
        <v>5</v>
      </c>
      <c r="D29">
        <v>21710</v>
      </c>
      <c r="E29">
        <v>2036</v>
      </c>
      <c r="F29" t="s">
        <v>133</v>
      </c>
      <c r="G29" t="s">
        <v>140</v>
      </c>
      <c r="H29" t="s">
        <v>178</v>
      </c>
      <c r="I29" t="s">
        <v>235</v>
      </c>
      <c r="J29">
        <v>37.338250000000002</v>
      </c>
      <c r="K29">
        <v>-6.533995</v>
      </c>
    </row>
    <row r="30" spans="1:11" x14ac:dyDescent="0.3">
      <c r="A30">
        <v>2101401</v>
      </c>
      <c r="B30" t="s">
        <v>288</v>
      </c>
      <c r="C30">
        <v>1</v>
      </c>
      <c r="D30">
        <v>21830</v>
      </c>
      <c r="E30">
        <v>5800</v>
      </c>
      <c r="F30" t="s">
        <v>90</v>
      </c>
      <c r="G30" t="s">
        <v>103</v>
      </c>
      <c r="H30" t="s">
        <v>138</v>
      </c>
      <c r="I30" t="s">
        <v>357</v>
      </c>
      <c r="J30">
        <v>37.329993999999999</v>
      </c>
      <c r="K30">
        <v>-6.6752779999999996</v>
      </c>
    </row>
    <row r="31" spans="1:11" x14ac:dyDescent="0.3">
      <c r="A31">
        <v>2101501</v>
      </c>
      <c r="B31" t="s">
        <v>289</v>
      </c>
      <c r="C31">
        <v>1</v>
      </c>
      <c r="D31">
        <v>21580</v>
      </c>
      <c r="E31">
        <v>712</v>
      </c>
      <c r="F31" t="s">
        <v>90</v>
      </c>
      <c r="G31" t="s">
        <v>105</v>
      </c>
      <c r="H31" t="s">
        <v>230</v>
      </c>
      <c r="I31" t="s">
        <v>172</v>
      </c>
      <c r="J31">
        <v>37.766768999999996</v>
      </c>
      <c r="K31">
        <v>-7.1070279999999997</v>
      </c>
    </row>
    <row r="32" spans="1:11" x14ac:dyDescent="0.3">
      <c r="A32">
        <v>2101601</v>
      </c>
      <c r="B32" t="s">
        <v>290</v>
      </c>
      <c r="C32">
        <v>1</v>
      </c>
      <c r="D32">
        <v>21270</v>
      </c>
      <c r="E32">
        <v>1118</v>
      </c>
      <c r="F32" t="s">
        <v>86</v>
      </c>
      <c r="G32" t="s">
        <v>194</v>
      </c>
      <c r="H32" t="s">
        <v>374</v>
      </c>
      <c r="I32" t="s">
        <v>93</v>
      </c>
      <c r="J32">
        <v>37.959612999999997</v>
      </c>
      <c r="K32">
        <v>-6.3323850000000004</v>
      </c>
    </row>
    <row r="33" spans="1:11" x14ac:dyDescent="0.3">
      <c r="A33">
        <v>2101701</v>
      </c>
      <c r="B33" t="s">
        <v>291</v>
      </c>
      <c r="C33">
        <v>1</v>
      </c>
      <c r="D33">
        <v>21300</v>
      </c>
      <c r="E33">
        <v>2757</v>
      </c>
      <c r="F33" t="s">
        <v>163</v>
      </c>
      <c r="G33" t="s">
        <v>174</v>
      </c>
      <c r="H33" t="s">
        <v>240</v>
      </c>
      <c r="I33" t="s">
        <v>93</v>
      </c>
      <c r="J33">
        <v>37.656346999999997</v>
      </c>
      <c r="K33">
        <v>-6.8793519999999999</v>
      </c>
    </row>
    <row r="34" spans="1:11" x14ac:dyDescent="0.3">
      <c r="A34">
        <v>2101702</v>
      </c>
      <c r="B34" t="s">
        <v>291</v>
      </c>
      <c r="C34">
        <v>2</v>
      </c>
      <c r="D34">
        <v>21300</v>
      </c>
      <c r="E34">
        <v>20</v>
      </c>
      <c r="F34" t="s">
        <v>163</v>
      </c>
      <c r="G34" t="s">
        <v>174</v>
      </c>
      <c r="H34" t="s">
        <v>240</v>
      </c>
      <c r="I34" s="8" t="s">
        <v>93</v>
      </c>
      <c r="J34">
        <v>37.640186</v>
      </c>
      <c r="K34">
        <v>-6.8828050000000003</v>
      </c>
    </row>
    <row r="35" spans="1:11" x14ac:dyDescent="0.3">
      <c r="A35">
        <v>2101801</v>
      </c>
      <c r="B35" t="s">
        <v>292</v>
      </c>
      <c r="C35">
        <v>1</v>
      </c>
      <c r="D35">
        <v>21650</v>
      </c>
      <c r="E35">
        <v>1058</v>
      </c>
      <c r="F35" t="s">
        <v>163</v>
      </c>
      <c r="G35" t="s">
        <v>144</v>
      </c>
      <c r="H35" t="s">
        <v>375</v>
      </c>
      <c r="I35" t="s">
        <v>102</v>
      </c>
      <c r="J35">
        <v>37.705731</v>
      </c>
      <c r="K35">
        <v>-6.6497789999999997</v>
      </c>
    </row>
    <row r="36" spans="1:11" x14ac:dyDescent="0.3">
      <c r="A36">
        <v>2101802</v>
      </c>
      <c r="B36" t="s">
        <v>292</v>
      </c>
      <c r="C36">
        <v>2</v>
      </c>
      <c r="D36">
        <v>21650</v>
      </c>
      <c r="E36">
        <v>935</v>
      </c>
      <c r="F36" t="s">
        <v>163</v>
      </c>
      <c r="G36" t="s">
        <v>179</v>
      </c>
      <c r="H36" t="s">
        <v>200</v>
      </c>
      <c r="I36" t="s">
        <v>93</v>
      </c>
      <c r="J36">
        <v>37.700454999999998</v>
      </c>
      <c r="K36">
        <v>-6.6215229999999998</v>
      </c>
    </row>
    <row r="37" spans="1:11" x14ac:dyDescent="0.3">
      <c r="A37">
        <v>2101901</v>
      </c>
      <c r="B37" t="s">
        <v>293</v>
      </c>
      <c r="C37">
        <v>1</v>
      </c>
      <c r="D37">
        <v>21668</v>
      </c>
      <c r="E37">
        <v>727</v>
      </c>
      <c r="F37" t="s">
        <v>133</v>
      </c>
      <c r="G37" t="s">
        <v>128</v>
      </c>
      <c r="H37" t="s">
        <v>236</v>
      </c>
      <c r="I37" t="s">
        <v>93</v>
      </c>
      <c r="J37">
        <v>37.770316000000001</v>
      </c>
      <c r="K37">
        <v>-6.5827869999999997</v>
      </c>
    </row>
    <row r="38" spans="1:11" x14ac:dyDescent="0.3">
      <c r="A38">
        <v>2102001</v>
      </c>
      <c r="B38" t="s">
        <v>294</v>
      </c>
      <c r="C38">
        <v>1</v>
      </c>
      <c r="D38">
        <v>21388</v>
      </c>
      <c r="E38">
        <v>382</v>
      </c>
      <c r="F38" t="s">
        <v>94</v>
      </c>
      <c r="G38" t="s">
        <v>269</v>
      </c>
      <c r="H38" t="s">
        <v>366</v>
      </c>
      <c r="I38" t="s">
        <v>172</v>
      </c>
      <c r="J38">
        <v>37.994014999999997</v>
      </c>
      <c r="K38">
        <v>-6.5007609999999998</v>
      </c>
    </row>
    <row r="39" spans="1:11" x14ac:dyDescent="0.3">
      <c r="A39">
        <v>2102101</v>
      </c>
      <c r="B39" t="s">
        <v>295</v>
      </c>
      <c r="C39">
        <v>1</v>
      </c>
      <c r="D39">
        <v>21450</v>
      </c>
      <c r="E39">
        <v>9307</v>
      </c>
      <c r="F39" t="s">
        <v>94</v>
      </c>
      <c r="G39" t="s">
        <v>355</v>
      </c>
      <c r="H39" t="s">
        <v>247</v>
      </c>
      <c r="I39" t="s">
        <v>376</v>
      </c>
      <c r="J39">
        <v>37.280419000000002</v>
      </c>
      <c r="K39">
        <v>-7.1589790000000004</v>
      </c>
    </row>
    <row r="40" spans="1:11" x14ac:dyDescent="0.3">
      <c r="A40">
        <v>2102102</v>
      </c>
      <c r="B40" t="s">
        <v>295</v>
      </c>
      <c r="C40">
        <v>2</v>
      </c>
      <c r="D40">
        <v>21450</v>
      </c>
      <c r="E40">
        <v>11844</v>
      </c>
      <c r="F40" t="s">
        <v>99</v>
      </c>
      <c r="G40" t="s">
        <v>146</v>
      </c>
      <c r="H40" t="s">
        <v>220</v>
      </c>
      <c r="I40" t="s">
        <v>161</v>
      </c>
      <c r="J40">
        <v>37.279262000000003</v>
      </c>
      <c r="K40">
        <v>-7.1551200000000001</v>
      </c>
    </row>
    <row r="41" spans="1:11" x14ac:dyDescent="0.3">
      <c r="A41">
        <v>2102201</v>
      </c>
      <c r="B41" t="s">
        <v>296</v>
      </c>
      <c r="C41">
        <v>1</v>
      </c>
      <c r="D41">
        <v>21290</v>
      </c>
      <c r="E41">
        <v>226</v>
      </c>
      <c r="F41" t="s">
        <v>99</v>
      </c>
      <c r="G41" t="s">
        <v>377</v>
      </c>
      <c r="H41" t="s">
        <v>202</v>
      </c>
      <c r="I41" t="s">
        <v>172</v>
      </c>
      <c r="J41">
        <v>37.888108000000003</v>
      </c>
      <c r="K41">
        <v>-6.6871239999999998</v>
      </c>
    </row>
    <row r="42" spans="1:11" x14ac:dyDescent="0.3">
      <c r="A42">
        <v>2102301</v>
      </c>
      <c r="B42" t="s">
        <v>297</v>
      </c>
      <c r="C42">
        <v>1</v>
      </c>
      <c r="D42">
        <v>21520</v>
      </c>
      <c r="E42">
        <v>2256</v>
      </c>
      <c r="F42" t="s">
        <v>133</v>
      </c>
      <c r="G42" t="s">
        <v>245</v>
      </c>
      <c r="H42" t="s">
        <v>248</v>
      </c>
      <c r="I42" t="s">
        <v>93</v>
      </c>
      <c r="J42">
        <v>37.708162000000002</v>
      </c>
      <c r="K42">
        <v>-7.0148929999999998</v>
      </c>
    </row>
    <row r="43" spans="1:11" x14ac:dyDescent="0.3">
      <c r="A43">
        <v>2103001</v>
      </c>
      <c r="B43" t="s">
        <v>304</v>
      </c>
      <c r="C43">
        <v>1</v>
      </c>
      <c r="D43">
        <v>21891</v>
      </c>
      <c r="E43">
        <v>2226</v>
      </c>
      <c r="F43" t="s">
        <v>90</v>
      </c>
      <c r="G43" t="s">
        <v>113</v>
      </c>
      <c r="H43" t="s">
        <v>96</v>
      </c>
      <c r="I43" t="s">
        <v>357</v>
      </c>
      <c r="J43">
        <v>37.355144000000003</v>
      </c>
      <c r="K43">
        <v>-6.394692</v>
      </c>
    </row>
    <row r="44" spans="1:11" x14ac:dyDescent="0.3">
      <c r="A44">
        <v>2102401</v>
      </c>
      <c r="B44" t="s">
        <v>298</v>
      </c>
      <c r="C44">
        <v>1</v>
      </c>
      <c r="D44">
        <v>21209</v>
      </c>
      <c r="E44">
        <v>561</v>
      </c>
      <c r="F44" t="s">
        <v>99</v>
      </c>
      <c r="G44" t="s">
        <v>225</v>
      </c>
      <c r="H44" t="s">
        <v>378</v>
      </c>
      <c r="I44" t="s">
        <v>102</v>
      </c>
      <c r="J44">
        <v>37.933067000000001</v>
      </c>
      <c r="K44">
        <v>-6.4939650000000002</v>
      </c>
    </row>
    <row r="45" spans="1:11" x14ac:dyDescent="0.3">
      <c r="A45">
        <v>2102501</v>
      </c>
      <c r="B45" t="s">
        <v>299</v>
      </c>
      <c r="C45">
        <v>1</v>
      </c>
      <c r="D45">
        <v>21230</v>
      </c>
      <c r="E45">
        <v>3274</v>
      </c>
      <c r="F45" t="s">
        <v>90</v>
      </c>
      <c r="G45" t="s">
        <v>166</v>
      </c>
      <c r="H45" t="s">
        <v>365</v>
      </c>
      <c r="I45" t="s">
        <v>89</v>
      </c>
      <c r="J45">
        <v>37.909663999999999</v>
      </c>
      <c r="K45">
        <v>-6.816567</v>
      </c>
    </row>
    <row r="46" spans="1:11" x14ac:dyDescent="0.3">
      <c r="A46">
        <v>2102502</v>
      </c>
      <c r="B46" t="s">
        <v>299</v>
      </c>
      <c r="C46">
        <v>2</v>
      </c>
      <c r="D46">
        <v>21230</v>
      </c>
      <c r="E46">
        <v>1329</v>
      </c>
      <c r="F46" t="s">
        <v>99</v>
      </c>
      <c r="G46" t="s">
        <v>379</v>
      </c>
      <c r="H46" t="s">
        <v>251</v>
      </c>
      <c r="I46" t="s">
        <v>102</v>
      </c>
      <c r="J46">
        <v>37.890385000000002</v>
      </c>
      <c r="K46">
        <v>-6.8668930000000001</v>
      </c>
    </row>
    <row r="47" spans="1:11" x14ac:dyDescent="0.3">
      <c r="A47">
        <v>2102601</v>
      </c>
      <c r="B47" t="s">
        <v>300</v>
      </c>
      <c r="C47">
        <v>1</v>
      </c>
      <c r="D47">
        <v>21208</v>
      </c>
      <c r="E47">
        <v>313</v>
      </c>
      <c r="F47" t="s">
        <v>94</v>
      </c>
      <c r="G47" t="s">
        <v>144</v>
      </c>
      <c r="H47" t="s">
        <v>228</v>
      </c>
      <c r="I47" t="s">
        <v>207</v>
      </c>
      <c r="J47">
        <v>37.958835999999998</v>
      </c>
      <c r="K47">
        <v>-6.6248870000000002</v>
      </c>
    </row>
    <row r="48" spans="1:11" x14ac:dyDescent="0.3">
      <c r="A48">
        <v>2102701</v>
      </c>
      <c r="B48" t="s">
        <v>301</v>
      </c>
      <c r="C48">
        <v>1</v>
      </c>
      <c r="D48">
        <v>21387</v>
      </c>
      <c r="E48">
        <v>61</v>
      </c>
      <c r="F48" t="s">
        <v>90</v>
      </c>
      <c r="G48" t="s">
        <v>380</v>
      </c>
      <c r="H48" t="s">
        <v>381</v>
      </c>
      <c r="I48" t="s">
        <v>382</v>
      </c>
      <c r="J48">
        <v>38.075150000000001</v>
      </c>
      <c r="K48">
        <v>-6.6967439999999998</v>
      </c>
    </row>
    <row r="49" spans="1:11" x14ac:dyDescent="0.3">
      <c r="A49">
        <v>2102801</v>
      </c>
      <c r="B49" t="s">
        <v>302</v>
      </c>
      <c r="C49">
        <v>1</v>
      </c>
      <c r="D49">
        <v>21386</v>
      </c>
      <c r="E49">
        <v>359</v>
      </c>
      <c r="F49" t="s">
        <v>90</v>
      </c>
      <c r="G49" t="s">
        <v>383</v>
      </c>
      <c r="H49" t="s">
        <v>384</v>
      </c>
      <c r="I49" t="s">
        <v>207</v>
      </c>
      <c r="J49">
        <v>38.058194</v>
      </c>
      <c r="K49">
        <v>-6.798241</v>
      </c>
    </row>
    <row r="50" spans="1:11" x14ac:dyDescent="0.3">
      <c r="A50">
        <v>2102901</v>
      </c>
      <c r="B50" t="s">
        <v>303</v>
      </c>
      <c r="C50">
        <v>1</v>
      </c>
      <c r="D50">
        <v>21380</v>
      </c>
      <c r="E50">
        <v>979</v>
      </c>
      <c r="F50" t="s">
        <v>86</v>
      </c>
      <c r="G50" t="s">
        <v>245</v>
      </c>
      <c r="H50" t="s">
        <v>385</v>
      </c>
      <c r="I50" t="s">
        <v>102</v>
      </c>
      <c r="J50">
        <v>38.028512999999997</v>
      </c>
      <c r="K50">
        <v>-6.6644769999999998</v>
      </c>
    </row>
    <row r="51" spans="1:11" x14ac:dyDescent="0.3">
      <c r="A51">
        <v>2102902</v>
      </c>
      <c r="B51" t="s">
        <v>303</v>
      </c>
      <c r="C51">
        <v>2</v>
      </c>
      <c r="D51">
        <v>21380</v>
      </c>
      <c r="E51">
        <v>728</v>
      </c>
      <c r="F51" t="s">
        <v>90</v>
      </c>
      <c r="G51" t="s">
        <v>134</v>
      </c>
      <c r="H51" t="s">
        <v>92</v>
      </c>
      <c r="I51" t="s">
        <v>102</v>
      </c>
      <c r="J51">
        <v>38.070723999999998</v>
      </c>
      <c r="K51">
        <v>-6.6228449999999999</v>
      </c>
    </row>
    <row r="52" spans="1:11" x14ac:dyDescent="0.3">
      <c r="A52">
        <v>2103101</v>
      </c>
      <c r="B52" t="s">
        <v>305</v>
      </c>
      <c r="C52">
        <v>1</v>
      </c>
      <c r="D52">
        <v>21390</v>
      </c>
      <c r="E52">
        <v>1294</v>
      </c>
      <c r="F52" t="s">
        <v>86</v>
      </c>
      <c r="G52" t="s">
        <v>360</v>
      </c>
      <c r="H52" t="s">
        <v>386</v>
      </c>
      <c r="I52" t="s">
        <v>172</v>
      </c>
      <c r="J52">
        <v>38.127915999999999</v>
      </c>
      <c r="K52">
        <v>-6.8968449999999999</v>
      </c>
    </row>
    <row r="53" spans="1:11" x14ac:dyDescent="0.3">
      <c r="A53">
        <v>2103201</v>
      </c>
      <c r="B53" t="s">
        <v>306</v>
      </c>
      <c r="C53">
        <v>1</v>
      </c>
      <c r="D53">
        <v>21870</v>
      </c>
      <c r="E53">
        <v>2315</v>
      </c>
      <c r="F53" t="s">
        <v>90</v>
      </c>
      <c r="G53" t="s">
        <v>243</v>
      </c>
      <c r="H53" t="s">
        <v>109</v>
      </c>
      <c r="I53" t="s">
        <v>235</v>
      </c>
      <c r="J53">
        <v>37.499749000000001</v>
      </c>
      <c r="K53">
        <v>-6.3906840000000003</v>
      </c>
    </row>
    <row r="54" spans="1:11" x14ac:dyDescent="0.3">
      <c r="A54">
        <v>2103301</v>
      </c>
      <c r="B54" t="s">
        <v>307</v>
      </c>
      <c r="C54">
        <v>1</v>
      </c>
      <c r="D54">
        <v>21292</v>
      </c>
      <c r="E54">
        <v>799</v>
      </c>
      <c r="F54" t="s">
        <v>219</v>
      </c>
      <c r="G54" t="s">
        <v>118</v>
      </c>
      <c r="H54" t="s">
        <v>116</v>
      </c>
      <c r="I54" t="s">
        <v>93</v>
      </c>
      <c r="J54">
        <v>37.907950999999997</v>
      </c>
      <c r="K54">
        <v>-6.6603149999999998</v>
      </c>
    </row>
    <row r="55" spans="1:11" x14ac:dyDescent="0.3">
      <c r="A55">
        <v>2103401</v>
      </c>
      <c r="B55" t="s">
        <v>308</v>
      </c>
      <c r="C55">
        <v>1</v>
      </c>
      <c r="D55">
        <v>21291</v>
      </c>
      <c r="E55">
        <v>1376</v>
      </c>
      <c r="F55" t="s">
        <v>86</v>
      </c>
      <c r="G55" t="s">
        <v>234</v>
      </c>
      <c r="H55" t="s">
        <v>385</v>
      </c>
      <c r="I55" t="s">
        <v>102</v>
      </c>
      <c r="J55">
        <v>37.927377999999997</v>
      </c>
      <c r="K55">
        <v>-6.6918300000000004</v>
      </c>
    </row>
    <row r="56" spans="1:11" x14ac:dyDescent="0.3">
      <c r="A56">
        <v>2103501</v>
      </c>
      <c r="B56" t="s">
        <v>309</v>
      </c>
      <c r="C56">
        <v>1</v>
      </c>
      <c r="D56">
        <v>21500</v>
      </c>
      <c r="E56">
        <v>5936</v>
      </c>
      <c r="F56" t="s">
        <v>90</v>
      </c>
      <c r="G56" t="s">
        <v>141</v>
      </c>
      <c r="H56" t="s">
        <v>113</v>
      </c>
      <c r="I56" t="s">
        <v>161</v>
      </c>
      <c r="J56">
        <v>37.400512999999997</v>
      </c>
      <c r="K56">
        <v>-6.9110950000000004</v>
      </c>
    </row>
    <row r="57" spans="1:11" x14ac:dyDescent="0.3">
      <c r="A57">
        <v>2103502</v>
      </c>
      <c r="B57" t="s">
        <v>309</v>
      </c>
      <c r="C57">
        <v>2</v>
      </c>
      <c r="D57">
        <v>21500</v>
      </c>
      <c r="E57">
        <v>7034</v>
      </c>
      <c r="F57" t="s">
        <v>90</v>
      </c>
      <c r="G57" t="s">
        <v>120</v>
      </c>
      <c r="H57" t="s">
        <v>174</v>
      </c>
      <c r="I57" t="s">
        <v>161</v>
      </c>
      <c r="J57">
        <v>37.376958999999999</v>
      </c>
      <c r="K57">
        <v>-6.9675200000000004</v>
      </c>
    </row>
    <row r="58" spans="1:11" x14ac:dyDescent="0.3">
      <c r="A58">
        <v>2103601</v>
      </c>
      <c r="B58" t="s">
        <v>310</v>
      </c>
      <c r="C58">
        <v>1</v>
      </c>
      <c r="D58">
        <v>21668</v>
      </c>
      <c r="E58">
        <v>244</v>
      </c>
      <c r="F58" t="s">
        <v>90</v>
      </c>
      <c r="G58" t="s">
        <v>134</v>
      </c>
      <c r="H58" t="s">
        <v>385</v>
      </c>
      <c r="I58" t="s">
        <v>102</v>
      </c>
      <c r="J58">
        <v>37.771979000000002</v>
      </c>
      <c r="K58">
        <v>-6.5088369999999998</v>
      </c>
    </row>
    <row r="59" spans="1:11" x14ac:dyDescent="0.3">
      <c r="A59">
        <v>2103701</v>
      </c>
      <c r="B59" t="s">
        <v>311</v>
      </c>
      <c r="C59">
        <v>1</v>
      </c>
      <c r="D59">
        <v>21594</v>
      </c>
      <c r="E59">
        <v>494</v>
      </c>
      <c r="F59" t="s">
        <v>163</v>
      </c>
      <c r="G59" t="s">
        <v>272</v>
      </c>
      <c r="H59" t="s">
        <v>267</v>
      </c>
      <c r="I59" t="s">
        <v>107</v>
      </c>
      <c r="J59">
        <v>37.518146999999999</v>
      </c>
      <c r="K59">
        <v>-7.4294549999999999</v>
      </c>
    </row>
    <row r="60" spans="1:11" x14ac:dyDescent="0.3">
      <c r="A60">
        <v>2103801</v>
      </c>
      <c r="B60" t="s">
        <v>312</v>
      </c>
      <c r="C60">
        <v>1</v>
      </c>
      <c r="D60">
        <v>21220</v>
      </c>
      <c r="E60">
        <v>1271</v>
      </c>
      <c r="F60" t="s">
        <v>86</v>
      </c>
      <c r="G60" t="s">
        <v>227</v>
      </c>
      <c r="H60" t="s">
        <v>378</v>
      </c>
      <c r="I60" t="s">
        <v>93</v>
      </c>
      <c r="J60">
        <v>37.833531000000001</v>
      </c>
      <c r="K60">
        <v>-6.4446370000000002</v>
      </c>
    </row>
    <row r="61" spans="1:11" x14ac:dyDescent="0.3">
      <c r="A61">
        <v>2103901</v>
      </c>
      <c r="B61" t="s">
        <v>313</v>
      </c>
      <c r="C61">
        <v>1</v>
      </c>
      <c r="D61">
        <v>21388</v>
      </c>
      <c r="E61">
        <v>326</v>
      </c>
      <c r="F61" t="s">
        <v>94</v>
      </c>
      <c r="G61" t="s">
        <v>387</v>
      </c>
      <c r="H61" t="s">
        <v>265</v>
      </c>
      <c r="I61" t="s">
        <v>102</v>
      </c>
      <c r="J61">
        <v>38.001134</v>
      </c>
      <c r="K61">
        <v>-6.5723000000000003</v>
      </c>
    </row>
    <row r="62" spans="1:11" x14ac:dyDescent="0.3">
      <c r="A62">
        <v>2104001</v>
      </c>
      <c r="B62" t="s">
        <v>314</v>
      </c>
      <c r="C62">
        <v>1</v>
      </c>
      <c r="D62">
        <v>21740</v>
      </c>
      <c r="E62">
        <v>1847</v>
      </c>
      <c r="F62" t="s">
        <v>90</v>
      </c>
      <c r="G62" t="s">
        <v>182</v>
      </c>
      <c r="H62" t="s">
        <v>150</v>
      </c>
      <c r="I62" t="s">
        <v>98</v>
      </c>
      <c r="J62">
        <v>37.311461000000001</v>
      </c>
      <c r="K62">
        <v>-6.4062049999999999</v>
      </c>
    </row>
    <row r="63" spans="1:11" x14ac:dyDescent="0.3">
      <c r="A63">
        <v>2104002</v>
      </c>
      <c r="B63" t="s">
        <v>314</v>
      </c>
      <c r="C63">
        <v>2</v>
      </c>
      <c r="D63">
        <v>21740</v>
      </c>
      <c r="E63">
        <v>2199</v>
      </c>
      <c r="F63" t="s">
        <v>99</v>
      </c>
      <c r="G63" t="s">
        <v>216</v>
      </c>
      <c r="H63" t="s">
        <v>192</v>
      </c>
      <c r="I63" t="s">
        <v>93</v>
      </c>
      <c r="J63">
        <v>37.130965000000003</v>
      </c>
      <c r="K63">
        <v>-6.3998619999999997</v>
      </c>
    </row>
    <row r="64" spans="1:11" x14ac:dyDescent="0.3">
      <c r="A64">
        <v>2104101</v>
      </c>
      <c r="B64" t="s">
        <v>315</v>
      </c>
      <c r="C64">
        <v>1</v>
      </c>
      <c r="D64">
        <v>21001</v>
      </c>
      <c r="E64">
        <v>19128</v>
      </c>
      <c r="F64" t="s">
        <v>388</v>
      </c>
      <c r="G64" t="s">
        <v>128</v>
      </c>
      <c r="H64" t="s">
        <v>189</v>
      </c>
      <c r="I64" t="s">
        <v>89</v>
      </c>
      <c r="J64">
        <v>37.257620000000003</v>
      </c>
      <c r="K64">
        <v>-6.9550130000000001</v>
      </c>
    </row>
    <row r="65" spans="1:11" x14ac:dyDescent="0.3">
      <c r="A65">
        <v>2104102</v>
      </c>
      <c r="B65" t="s">
        <v>315</v>
      </c>
      <c r="C65">
        <v>2</v>
      </c>
      <c r="D65">
        <v>21002</v>
      </c>
      <c r="E65">
        <v>15994</v>
      </c>
      <c r="F65" t="s">
        <v>99</v>
      </c>
      <c r="G65" t="s">
        <v>147</v>
      </c>
      <c r="H65" t="s">
        <v>216</v>
      </c>
      <c r="I65" t="s">
        <v>161</v>
      </c>
      <c r="J65">
        <v>37.265298000000001</v>
      </c>
      <c r="K65">
        <v>-6.9607070000000002</v>
      </c>
    </row>
    <row r="66" spans="1:11" x14ac:dyDescent="0.3">
      <c r="A66">
        <v>2104103</v>
      </c>
      <c r="B66" t="s">
        <v>315</v>
      </c>
      <c r="C66">
        <v>3</v>
      </c>
      <c r="D66">
        <v>21003</v>
      </c>
      <c r="E66">
        <v>13251</v>
      </c>
      <c r="F66" t="s">
        <v>176</v>
      </c>
      <c r="G66" t="s">
        <v>164</v>
      </c>
      <c r="H66" t="s">
        <v>146</v>
      </c>
      <c r="I66" t="s">
        <v>98</v>
      </c>
      <c r="J66">
        <v>37.253794999999997</v>
      </c>
      <c r="K66">
        <v>-6.9565950000000001</v>
      </c>
    </row>
    <row r="67" spans="1:11" x14ac:dyDescent="0.3">
      <c r="A67">
        <v>2104104</v>
      </c>
      <c r="B67" t="s">
        <v>315</v>
      </c>
      <c r="C67">
        <v>4</v>
      </c>
      <c r="D67">
        <v>21004</v>
      </c>
      <c r="E67">
        <v>16161</v>
      </c>
      <c r="F67" t="s">
        <v>389</v>
      </c>
      <c r="G67" t="s">
        <v>238</v>
      </c>
      <c r="H67" t="s">
        <v>88</v>
      </c>
      <c r="I67" t="s">
        <v>89</v>
      </c>
      <c r="J67">
        <v>37.261580000000002</v>
      </c>
      <c r="K67">
        <v>-6.9371429999999998</v>
      </c>
    </row>
    <row r="68" spans="1:11" x14ac:dyDescent="0.3">
      <c r="A68">
        <v>2104105</v>
      </c>
      <c r="B68" t="s">
        <v>315</v>
      </c>
      <c r="C68">
        <v>5</v>
      </c>
      <c r="D68">
        <v>21005</v>
      </c>
      <c r="E68">
        <v>18071</v>
      </c>
      <c r="F68" t="s">
        <v>99</v>
      </c>
      <c r="G68" t="s">
        <v>103</v>
      </c>
      <c r="H68" t="s">
        <v>242</v>
      </c>
      <c r="I68" t="s">
        <v>98</v>
      </c>
      <c r="J68">
        <v>37.263331000000001</v>
      </c>
      <c r="K68">
        <v>-6.9345249999999998</v>
      </c>
    </row>
    <row r="69" spans="1:11" x14ac:dyDescent="0.3">
      <c r="A69">
        <v>2104106</v>
      </c>
      <c r="B69" t="s">
        <v>315</v>
      </c>
      <c r="C69">
        <v>6</v>
      </c>
      <c r="D69">
        <v>21006</v>
      </c>
      <c r="E69">
        <v>10167</v>
      </c>
      <c r="F69" t="s">
        <v>133</v>
      </c>
      <c r="G69" t="s">
        <v>149</v>
      </c>
      <c r="H69" t="s">
        <v>146</v>
      </c>
      <c r="I69" t="s">
        <v>161</v>
      </c>
      <c r="J69">
        <v>37.262898</v>
      </c>
      <c r="K69">
        <v>-6.928382</v>
      </c>
    </row>
    <row r="70" spans="1:11" x14ac:dyDescent="0.3">
      <c r="A70">
        <v>2104107</v>
      </c>
      <c r="B70" t="s">
        <v>315</v>
      </c>
      <c r="C70">
        <v>7</v>
      </c>
      <c r="D70">
        <v>21007</v>
      </c>
      <c r="E70">
        <v>30408</v>
      </c>
      <c r="F70" t="s">
        <v>133</v>
      </c>
      <c r="G70" t="s">
        <v>252</v>
      </c>
      <c r="H70" t="s">
        <v>166</v>
      </c>
      <c r="I70" t="s">
        <v>161</v>
      </c>
      <c r="J70">
        <v>37.266328000000001</v>
      </c>
      <c r="K70">
        <v>-6.9403569999999997</v>
      </c>
    </row>
    <row r="71" spans="1:11" x14ac:dyDescent="0.3">
      <c r="A71">
        <v>2104108</v>
      </c>
      <c r="B71" t="s">
        <v>315</v>
      </c>
      <c r="C71">
        <v>8</v>
      </c>
      <c r="D71">
        <v>21007</v>
      </c>
      <c r="E71">
        <v>19257</v>
      </c>
      <c r="F71" t="s">
        <v>94</v>
      </c>
      <c r="G71" t="s">
        <v>140</v>
      </c>
      <c r="H71" t="s">
        <v>256</v>
      </c>
      <c r="I71" t="s">
        <v>161</v>
      </c>
      <c r="J71">
        <v>37.297756999999997</v>
      </c>
      <c r="K71">
        <v>-6.960331</v>
      </c>
    </row>
    <row r="72" spans="1:11" x14ac:dyDescent="0.3">
      <c r="A72">
        <v>2104201</v>
      </c>
      <c r="B72" t="s">
        <v>316</v>
      </c>
      <c r="C72">
        <v>1</v>
      </c>
      <c r="D72">
        <v>21410</v>
      </c>
      <c r="E72">
        <v>2114</v>
      </c>
      <c r="F72" t="s">
        <v>94</v>
      </c>
      <c r="G72" t="s">
        <v>241</v>
      </c>
      <c r="H72" t="s">
        <v>198</v>
      </c>
      <c r="I72" t="s">
        <v>161</v>
      </c>
      <c r="J72">
        <v>37.233561000000002</v>
      </c>
      <c r="K72">
        <v>-7.3003280000000004</v>
      </c>
    </row>
    <row r="73" spans="1:11" x14ac:dyDescent="0.3">
      <c r="A73">
        <v>2104202</v>
      </c>
      <c r="B73" t="s">
        <v>316</v>
      </c>
      <c r="C73">
        <v>2</v>
      </c>
      <c r="D73">
        <v>21410</v>
      </c>
      <c r="E73">
        <v>8007</v>
      </c>
      <c r="F73" t="s">
        <v>86</v>
      </c>
      <c r="G73" t="s">
        <v>216</v>
      </c>
      <c r="H73" t="s">
        <v>114</v>
      </c>
      <c r="I73" t="s">
        <v>161</v>
      </c>
      <c r="J73">
        <v>37.200676999999999</v>
      </c>
      <c r="K73">
        <v>-7.3224450000000001</v>
      </c>
    </row>
    <row r="74" spans="1:11" x14ac:dyDescent="0.3">
      <c r="A74">
        <v>2104203</v>
      </c>
      <c r="B74" t="s">
        <v>316</v>
      </c>
      <c r="C74">
        <v>3</v>
      </c>
      <c r="D74">
        <v>21410</v>
      </c>
      <c r="E74">
        <v>9293</v>
      </c>
      <c r="F74" t="s">
        <v>94</v>
      </c>
      <c r="G74" t="s">
        <v>120</v>
      </c>
      <c r="H74" t="s">
        <v>121</v>
      </c>
      <c r="I74" t="s">
        <v>161</v>
      </c>
      <c r="J74">
        <v>37.203294999999997</v>
      </c>
      <c r="K74">
        <v>-7.3177190000000003</v>
      </c>
    </row>
    <row r="75" spans="1:11" x14ac:dyDescent="0.3">
      <c r="A75">
        <v>2104204</v>
      </c>
      <c r="B75" t="s">
        <v>316</v>
      </c>
      <c r="C75">
        <v>4</v>
      </c>
      <c r="D75">
        <v>21410</v>
      </c>
      <c r="E75">
        <v>1871</v>
      </c>
      <c r="F75" t="s">
        <v>90</v>
      </c>
      <c r="G75" t="s">
        <v>164</v>
      </c>
      <c r="H75" t="s">
        <v>128</v>
      </c>
      <c r="I75" t="s">
        <v>161</v>
      </c>
      <c r="J75">
        <v>37.226143999999998</v>
      </c>
      <c r="K75">
        <v>-7.2589769999999998</v>
      </c>
    </row>
    <row r="76" spans="1:11" x14ac:dyDescent="0.3">
      <c r="A76">
        <v>2104301</v>
      </c>
      <c r="B76" t="s">
        <v>317</v>
      </c>
      <c r="C76">
        <v>1</v>
      </c>
      <c r="D76">
        <v>21290</v>
      </c>
      <c r="E76">
        <v>2199</v>
      </c>
      <c r="F76" t="s">
        <v>163</v>
      </c>
      <c r="G76" t="s">
        <v>191</v>
      </c>
      <c r="H76" t="s">
        <v>96</v>
      </c>
      <c r="I76" t="s">
        <v>98</v>
      </c>
      <c r="J76">
        <v>37.910361000000002</v>
      </c>
      <c r="K76">
        <v>-6.730607</v>
      </c>
    </row>
    <row r="77" spans="1:11" x14ac:dyDescent="0.3">
      <c r="A77">
        <v>2104401</v>
      </c>
      <c r="B77" t="s">
        <v>318</v>
      </c>
      <c r="C77">
        <v>1</v>
      </c>
      <c r="D77">
        <v>21440</v>
      </c>
      <c r="E77">
        <v>12047</v>
      </c>
      <c r="F77" t="s">
        <v>90</v>
      </c>
      <c r="G77" t="s">
        <v>244</v>
      </c>
      <c r="H77" t="s">
        <v>245</v>
      </c>
      <c r="I77" t="s">
        <v>357</v>
      </c>
      <c r="J77">
        <v>37.255257</v>
      </c>
      <c r="K77">
        <v>-7.2080359999999999</v>
      </c>
    </row>
    <row r="78" spans="1:11" x14ac:dyDescent="0.3">
      <c r="A78">
        <v>2104402</v>
      </c>
      <c r="B78" t="s">
        <v>318</v>
      </c>
      <c r="C78">
        <v>2</v>
      </c>
      <c r="D78">
        <v>21440</v>
      </c>
      <c r="E78">
        <v>8353</v>
      </c>
      <c r="F78" t="s">
        <v>86</v>
      </c>
      <c r="G78" t="s">
        <v>355</v>
      </c>
      <c r="H78" t="s">
        <v>142</v>
      </c>
      <c r="I78" t="s">
        <v>357</v>
      </c>
      <c r="J78">
        <v>37.243968000000002</v>
      </c>
      <c r="K78">
        <v>-7.2304240000000002</v>
      </c>
    </row>
    <row r="79" spans="1:11" x14ac:dyDescent="0.3">
      <c r="A79">
        <v>2104403</v>
      </c>
      <c r="B79" t="s">
        <v>318</v>
      </c>
      <c r="C79">
        <v>3</v>
      </c>
      <c r="D79">
        <v>21449</v>
      </c>
      <c r="E79">
        <v>8335</v>
      </c>
      <c r="F79" t="s">
        <v>90</v>
      </c>
      <c r="G79" t="s">
        <v>162</v>
      </c>
      <c r="H79" t="s">
        <v>363</v>
      </c>
      <c r="I79" t="s">
        <v>98</v>
      </c>
      <c r="J79">
        <v>37.261975999999997</v>
      </c>
      <c r="K79">
        <v>-7.1804969999999999</v>
      </c>
    </row>
    <row r="80" spans="1:11" x14ac:dyDescent="0.3">
      <c r="A80">
        <v>2104501</v>
      </c>
      <c r="B80" t="s">
        <v>319</v>
      </c>
      <c r="C80">
        <v>1</v>
      </c>
      <c r="D80">
        <v>21207</v>
      </c>
      <c r="E80">
        <v>275</v>
      </c>
      <c r="F80" t="s">
        <v>90</v>
      </c>
      <c r="G80" t="s">
        <v>187</v>
      </c>
      <c r="H80" t="s">
        <v>242</v>
      </c>
      <c r="I80" t="s">
        <v>207</v>
      </c>
      <c r="J80">
        <v>37.854528999999999</v>
      </c>
      <c r="K80">
        <v>-6.6068439999999997</v>
      </c>
    </row>
    <row r="81" spans="1:11" x14ac:dyDescent="0.3">
      <c r="A81">
        <v>2104601</v>
      </c>
      <c r="B81" t="s">
        <v>320</v>
      </c>
      <c r="C81">
        <v>1</v>
      </c>
      <c r="D81">
        <v>21820</v>
      </c>
      <c r="E81">
        <v>3367</v>
      </c>
      <c r="F81" t="s">
        <v>133</v>
      </c>
      <c r="G81" t="s">
        <v>103</v>
      </c>
      <c r="H81" t="s">
        <v>125</v>
      </c>
      <c r="I81" t="s">
        <v>357</v>
      </c>
      <c r="J81">
        <v>37.250979999999998</v>
      </c>
      <c r="K81">
        <v>-6.736694</v>
      </c>
    </row>
    <row r="82" spans="1:11" x14ac:dyDescent="0.3">
      <c r="A82">
        <v>2104701</v>
      </c>
      <c r="B82" t="s">
        <v>321</v>
      </c>
      <c r="C82">
        <v>1</v>
      </c>
      <c r="D82">
        <v>21890</v>
      </c>
      <c r="E82">
        <v>899</v>
      </c>
      <c r="F82" t="s">
        <v>86</v>
      </c>
      <c r="G82" t="s">
        <v>174</v>
      </c>
      <c r="H82" t="s">
        <v>181</v>
      </c>
      <c r="I82" t="s">
        <v>89</v>
      </c>
      <c r="J82">
        <v>37.381895</v>
      </c>
      <c r="K82">
        <v>-6.4201370000000004</v>
      </c>
    </row>
    <row r="83" spans="1:11" x14ac:dyDescent="0.3">
      <c r="A83">
        <v>2104702</v>
      </c>
      <c r="B83" t="s">
        <v>321</v>
      </c>
      <c r="C83">
        <v>2</v>
      </c>
      <c r="D83">
        <v>21890</v>
      </c>
      <c r="E83">
        <v>1332</v>
      </c>
      <c r="F83" t="s">
        <v>115</v>
      </c>
      <c r="G83" t="s">
        <v>169</v>
      </c>
      <c r="H83" t="s">
        <v>148</v>
      </c>
      <c r="I83" t="s">
        <v>98</v>
      </c>
      <c r="J83">
        <v>37.415444999999998</v>
      </c>
      <c r="K83">
        <v>-6.4637859999999998</v>
      </c>
    </row>
    <row r="84" spans="1:11" x14ac:dyDescent="0.3">
      <c r="A84">
        <v>2104801</v>
      </c>
      <c r="B84" t="s">
        <v>322</v>
      </c>
      <c r="C84">
        <v>1</v>
      </c>
      <c r="D84">
        <v>21208</v>
      </c>
      <c r="E84">
        <v>427</v>
      </c>
      <c r="F84" t="s">
        <v>90</v>
      </c>
      <c r="G84" t="s">
        <v>147</v>
      </c>
      <c r="H84" t="s">
        <v>104</v>
      </c>
      <c r="I84" t="s">
        <v>102</v>
      </c>
      <c r="J84">
        <v>37.902292000000003</v>
      </c>
      <c r="K84">
        <v>-6.621715</v>
      </c>
    </row>
    <row r="85" spans="1:11" x14ac:dyDescent="0.3">
      <c r="A85">
        <v>2104901</v>
      </c>
      <c r="B85" t="s">
        <v>323</v>
      </c>
      <c r="C85">
        <v>1</v>
      </c>
      <c r="D85">
        <v>21660</v>
      </c>
      <c r="E85">
        <v>2910</v>
      </c>
      <c r="F85" t="s">
        <v>390</v>
      </c>
      <c r="G85" t="s">
        <v>247</v>
      </c>
      <c r="H85" t="s">
        <v>132</v>
      </c>
      <c r="I85" t="s">
        <v>93</v>
      </c>
      <c r="J85">
        <v>37.692604000000003</v>
      </c>
      <c r="K85">
        <v>-6.5927910000000001</v>
      </c>
    </row>
    <row r="86" spans="1:11" x14ac:dyDescent="0.3">
      <c r="A86">
        <v>2104902</v>
      </c>
      <c r="B86" t="s">
        <v>323</v>
      </c>
      <c r="C86">
        <v>2</v>
      </c>
      <c r="D86">
        <v>21660</v>
      </c>
      <c r="E86">
        <v>799</v>
      </c>
      <c r="F86" t="s">
        <v>94</v>
      </c>
      <c r="G86" t="s">
        <v>116</v>
      </c>
      <c r="H86" t="s">
        <v>391</v>
      </c>
      <c r="I86" t="s">
        <v>102</v>
      </c>
      <c r="J86">
        <v>37.700493000000002</v>
      </c>
      <c r="K86">
        <v>-6.5833449999999996</v>
      </c>
    </row>
    <row r="87" spans="1:11" x14ac:dyDescent="0.3">
      <c r="A87">
        <v>2105001</v>
      </c>
      <c r="B87" t="s">
        <v>324</v>
      </c>
      <c r="C87">
        <v>1</v>
      </c>
      <c r="D87">
        <v>21800</v>
      </c>
      <c r="E87">
        <v>6447</v>
      </c>
      <c r="F87" t="s">
        <v>86</v>
      </c>
      <c r="G87" t="s">
        <v>145</v>
      </c>
      <c r="H87" t="s">
        <v>220</v>
      </c>
      <c r="I87" t="s">
        <v>376</v>
      </c>
      <c r="J87">
        <v>37.296433</v>
      </c>
      <c r="K87">
        <v>-6.8304369999999999</v>
      </c>
    </row>
    <row r="88" spans="1:11" x14ac:dyDescent="0.3">
      <c r="A88">
        <v>2105002</v>
      </c>
      <c r="B88" t="s">
        <v>324</v>
      </c>
      <c r="C88">
        <v>2</v>
      </c>
      <c r="D88">
        <v>21800</v>
      </c>
      <c r="E88">
        <v>4612</v>
      </c>
      <c r="F88" t="s">
        <v>133</v>
      </c>
      <c r="G88" t="s">
        <v>233</v>
      </c>
      <c r="H88" t="s">
        <v>198</v>
      </c>
      <c r="I88" t="s">
        <v>357</v>
      </c>
      <c r="J88">
        <v>37.277358999999997</v>
      </c>
      <c r="K88">
        <v>-6.835534</v>
      </c>
    </row>
    <row r="89" spans="1:11" x14ac:dyDescent="0.3">
      <c r="A89">
        <v>2105003</v>
      </c>
      <c r="B89" t="s">
        <v>324</v>
      </c>
      <c r="C89">
        <v>3</v>
      </c>
      <c r="D89">
        <v>21130</v>
      </c>
      <c r="E89">
        <v>11985</v>
      </c>
      <c r="F89" t="s">
        <v>90</v>
      </c>
      <c r="G89" t="s">
        <v>134</v>
      </c>
      <c r="H89" t="s">
        <v>361</v>
      </c>
      <c r="I89" t="s">
        <v>161</v>
      </c>
      <c r="J89">
        <v>37.186208999999998</v>
      </c>
      <c r="K89">
        <v>-6.8115579999999998</v>
      </c>
    </row>
    <row r="90" spans="1:11" x14ac:dyDescent="0.3">
      <c r="A90">
        <v>2105101</v>
      </c>
      <c r="B90" t="s">
        <v>325</v>
      </c>
      <c r="C90">
        <v>1</v>
      </c>
      <c r="D90">
        <v>21291</v>
      </c>
      <c r="E90">
        <v>258</v>
      </c>
      <c r="F90" t="s">
        <v>90</v>
      </c>
      <c r="G90" t="s">
        <v>392</v>
      </c>
      <c r="H90" t="s">
        <v>393</v>
      </c>
      <c r="I90" t="s">
        <v>207</v>
      </c>
      <c r="J90">
        <v>37.974212000000001</v>
      </c>
      <c r="K90">
        <v>-6.7585160000000002</v>
      </c>
    </row>
    <row r="91" spans="1:11" x14ac:dyDescent="0.3">
      <c r="A91">
        <v>2105201</v>
      </c>
      <c r="B91" t="s">
        <v>326</v>
      </c>
      <c r="C91">
        <v>1</v>
      </c>
      <c r="D91">
        <v>21670</v>
      </c>
      <c r="E91">
        <v>1815</v>
      </c>
      <c r="F91" t="s">
        <v>99</v>
      </c>
      <c r="G91" t="s">
        <v>217</v>
      </c>
      <c r="H91" t="s">
        <v>209</v>
      </c>
      <c r="I91" t="s">
        <v>89</v>
      </c>
      <c r="J91">
        <v>37.699668000000003</v>
      </c>
      <c r="K91">
        <v>-6.5548830000000002</v>
      </c>
    </row>
    <row r="92" spans="1:11" x14ac:dyDescent="0.3">
      <c r="A92">
        <v>2105202</v>
      </c>
      <c r="B92" t="s">
        <v>326</v>
      </c>
      <c r="C92">
        <v>2</v>
      </c>
      <c r="D92">
        <v>21670</v>
      </c>
      <c r="E92">
        <v>1526</v>
      </c>
      <c r="F92" t="s">
        <v>163</v>
      </c>
      <c r="G92" t="s">
        <v>156</v>
      </c>
      <c r="H92" t="s">
        <v>88</v>
      </c>
      <c r="I92" t="s">
        <v>89</v>
      </c>
      <c r="J92">
        <v>37.717754999999997</v>
      </c>
      <c r="K92">
        <v>-6.5287550000000003</v>
      </c>
    </row>
    <row r="93" spans="1:11" x14ac:dyDescent="0.3">
      <c r="A93">
        <v>2105203</v>
      </c>
      <c r="B93" t="s">
        <v>326</v>
      </c>
      <c r="C93">
        <v>3</v>
      </c>
      <c r="D93">
        <v>21670</v>
      </c>
      <c r="E93">
        <v>1709</v>
      </c>
      <c r="F93" t="s">
        <v>99</v>
      </c>
      <c r="G93" t="s">
        <v>364</v>
      </c>
      <c r="H93" t="s">
        <v>394</v>
      </c>
      <c r="I93" t="s">
        <v>89</v>
      </c>
      <c r="J93">
        <v>37.681990999999996</v>
      </c>
      <c r="K93">
        <v>-6.5168850000000003</v>
      </c>
    </row>
    <row r="94" spans="1:11" x14ac:dyDescent="0.3">
      <c r="A94">
        <v>2105301</v>
      </c>
      <c r="B94" t="s">
        <v>327</v>
      </c>
      <c r="C94">
        <v>1</v>
      </c>
      <c r="D94">
        <v>21840</v>
      </c>
      <c r="E94">
        <v>999</v>
      </c>
      <c r="F94" t="s">
        <v>163</v>
      </c>
      <c r="G94" t="s">
        <v>131</v>
      </c>
      <c r="H94" t="s">
        <v>395</v>
      </c>
      <c r="I94" t="s">
        <v>161</v>
      </c>
      <c r="J94">
        <v>37.360278000000001</v>
      </c>
      <c r="K94">
        <v>-6.679068</v>
      </c>
    </row>
    <row r="95" spans="1:11" x14ac:dyDescent="0.3">
      <c r="A95">
        <v>2105302</v>
      </c>
      <c r="B95" t="s">
        <v>327</v>
      </c>
      <c r="C95">
        <v>2</v>
      </c>
      <c r="D95">
        <v>21840</v>
      </c>
      <c r="E95">
        <v>1729</v>
      </c>
      <c r="F95" t="s">
        <v>90</v>
      </c>
      <c r="G95" t="s">
        <v>241</v>
      </c>
      <c r="H95" t="s">
        <v>96</v>
      </c>
      <c r="I95" t="s">
        <v>161</v>
      </c>
      <c r="J95">
        <v>37.355462000000003</v>
      </c>
      <c r="K95">
        <v>-6.658677</v>
      </c>
    </row>
    <row r="96" spans="1:11" x14ac:dyDescent="0.3">
      <c r="A96">
        <v>2105303</v>
      </c>
      <c r="B96" t="s">
        <v>327</v>
      </c>
      <c r="C96">
        <v>3</v>
      </c>
      <c r="D96">
        <v>21840</v>
      </c>
      <c r="E96">
        <v>1545</v>
      </c>
      <c r="F96" t="s">
        <v>86</v>
      </c>
      <c r="G96" t="s">
        <v>243</v>
      </c>
      <c r="H96" t="s">
        <v>234</v>
      </c>
      <c r="I96" t="s">
        <v>235</v>
      </c>
      <c r="J96">
        <v>37.446300999999998</v>
      </c>
      <c r="K96">
        <v>-6.6815300000000004</v>
      </c>
    </row>
    <row r="97" spans="1:11" x14ac:dyDescent="0.3">
      <c r="A97">
        <v>2105401</v>
      </c>
      <c r="B97" t="s">
        <v>328</v>
      </c>
      <c r="C97">
        <v>1</v>
      </c>
      <c r="D97">
        <v>21700</v>
      </c>
      <c r="E97">
        <v>10605</v>
      </c>
      <c r="F97" t="s">
        <v>133</v>
      </c>
      <c r="G97" t="s">
        <v>162</v>
      </c>
      <c r="H97" t="s">
        <v>138</v>
      </c>
      <c r="I97" t="s">
        <v>357</v>
      </c>
      <c r="J97">
        <v>37.421737999999998</v>
      </c>
      <c r="K97">
        <v>-6.5605039999999999</v>
      </c>
    </row>
    <row r="98" spans="1:11" x14ac:dyDescent="0.3">
      <c r="A98">
        <v>2105501</v>
      </c>
      <c r="B98" t="s">
        <v>329</v>
      </c>
      <c r="C98">
        <v>1</v>
      </c>
      <c r="D98">
        <v>21810</v>
      </c>
      <c r="E98">
        <v>11813</v>
      </c>
      <c r="F98" t="s">
        <v>110</v>
      </c>
      <c r="G98" t="s">
        <v>181</v>
      </c>
      <c r="H98" t="s">
        <v>356</v>
      </c>
      <c r="I98" t="s">
        <v>376</v>
      </c>
      <c r="J98">
        <v>37.238126000000001</v>
      </c>
      <c r="K98">
        <v>-6.8970370000000001</v>
      </c>
    </row>
    <row r="99" spans="1:11" x14ac:dyDescent="0.3">
      <c r="A99">
        <v>2105601</v>
      </c>
      <c r="B99" t="s">
        <v>330</v>
      </c>
      <c r="C99">
        <v>1</v>
      </c>
      <c r="D99">
        <v>21880</v>
      </c>
      <c r="E99">
        <v>2024</v>
      </c>
      <c r="F99" t="s">
        <v>86</v>
      </c>
      <c r="G99" t="s">
        <v>191</v>
      </c>
      <c r="H99" t="s">
        <v>395</v>
      </c>
      <c r="I99" t="s">
        <v>98</v>
      </c>
      <c r="J99">
        <v>37.472130999999997</v>
      </c>
      <c r="K99">
        <v>-6.4658360000000004</v>
      </c>
    </row>
    <row r="100" spans="1:11" x14ac:dyDescent="0.3">
      <c r="A100">
        <v>2105602</v>
      </c>
      <c r="B100" t="s">
        <v>330</v>
      </c>
      <c r="C100">
        <v>2</v>
      </c>
      <c r="D100">
        <v>21880</v>
      </c>
      <c r="E100">
        <v>1404</v>
      </c>
      <c r="F100" t="s">
        <v>90</v>
      </c>
      <c r="G100" t="s">
        <v>153</v>
      </c>
      <c r="H100" t="s">
        <v>127</v>
      </c>
      <c r="I100" t="s">
        <v>89</v>
      </c>
      <c r="J100">
        <v>37.417848999999997</v>
      </c>
      <c r="K100">
        <v>-6.4015170000000001</v>
      </c>
    </row>
    <row r="101" spans="1:11" x14ac:dyDescent="0.3">
      <c r="A101">
        <v>2105701</v>
      </c>
      <c r="B101" t="s">
        <v>331</v>
      </c>
      <c r="C101">
        <v>1</v>
      </c>
      <c r="D101">
        <v>21560</v>
      </c>
      <c r="E101">
        <v>1187</v>
      </c>
      <c r="F101" t="s">
        <v>86</v>
      </c>
      <c r="G101" t="s">
        <v>147</v>
      </c>
      <c r="H101" t="s">
        <v>396</v>
      </c>
      <c r="I101" t="s">
        <v>98</v>
      </c>
      <c r="J101">
        <v>37.746803999999997</v>
      </c>
      <c r="K101">
        <v>-7.3165110000000002</v>
      </c>
    </row>
    <row r="102" spans="1:11" x14ac:dyDescent="0.3">
      <c r="A102">
        <v>2105801</v>
      </c>
      <c r="B102" t="s">
        <v>332</v>
      </c>
      <c r="C102">
        <v>1</v>
      </c>
      <c r="D102">
        <v>21550</v>
      </c>
      <c r="E102">
        <v>1068</v>
      </c>
      <c r="F102" t="s">
        <v>90</v>
      </c>
      <c r="G102" t="s">
        <v>131</v>
      </c>
      <c r="H102" t="s">
        <v>381</v>
      </c>
      <c r="I102" t="s">
        <v>93</v>
      </c>
      <c r="J102">
        <v>37.635550000000002</v>
      </c>
      <c r="K102">
        <v>-7.3020440000000004</v>
      </c>
    </row>
    <row r="103" spans="1:11" x14ac:dyDescent="0.3">
      <c r="A103">
        <v>2105802</v>
      </c>
      <c r="B103" t="s">
        <v>332</v>
      </c>
      <c r="C103">
        <v>2</v>
      </c>
      <c r="D103">
        <v>21550</v>
      </c>
      <c r="E103">
        <v>2052</v>
      </c>
      <c r="F103" t="s">
        <v>133</v>
      </c>
      <c r="G103" t="s">
        <v>138</v>
      </c>
      <c r="H103" t="s">
        <v>396</v>
      </c>
      <c r="I103" t="s">
        <v>93</v>
      </c>
      <c r="J103">
        <v>37.612372000000001</v>
      </c>
      <c r="K103">
        <v>-7.2519499999999999</v>
      </c>
    </row>
    <row r="104" spans="1:11" x14ac:dyDescent="0.3">
      <c r="A104">
        <v>2105901</v>
      </c>
      <c r="B104" t="s">
        <v>333</v>
      </c>
      <c r="C104">
        <v>1</v>
      </c>
      <c r="D104">
        <v>21209</v>
      </c>
      <c r="E104">
        <v>280</v>
      </c>
      <c r="F104" t="s">
        <v>90</v>
      </c>
      <c r="G104" t="s">
        <v>116</v>
      </c>
      <c r="H104" t="s">
        <v>261</v>
      </c>
      <c r="I104" t="s">
        <v>89</v>
      </c>
      <c r="J104">
        <v>37.892282999999999</v>
      </c>
      <c r="K104">
        <v>-6.4658660000000001</v>
      </c>
    </row>
    <row r="105" spans="1:11" x14ac:dyDescent="0.3">
      <c r="A105">
        <v>2106001</v>
      </c>
      <c r="B105" t="s">
        <v>334</v>
      </c>
      <c r="C105">
        <v>1</v>
      </c>
      <c r="D105">
        <v>21450</v>
      </c>
      <c r="E105">
        <v>15966</v>
      </c>
      <c r="F105" t="s">
        <v>133</v>
      </c>
      <c r="G105" t="s">
        <v>153</v>
      </c>
      <c r="H105" t="s">
        <v>181</v>
      </c>
      <c r="I105" t="s">
        <v>93</v>
      </c>
      <c r="J105">
        <v>37.174196000000002</v>
      </c>
      <c r="K105">
        <v>-6.9540449999999998</v>
      </c>
    </row>
    <row r="106" spans="1:11" x14ac:dyDescent="0.3">
      <c r="A106">
        <v>2106101</v>
      </c>
      <c r="B106" t="s">
        <v>335</v>
      </c>
      <c r="C106">
        <v>1</v>
      </c>
      <c r="D106">
        <v>21720</v>
      </c>
      <c r="E106">
        <v>3982</v>
      </c>
      <c r="F106" t="s">
        <v>94</v>
      </c>
      <c r="G106" t="s">
        <v>141</v>
      </c>
      <c r="H106" t="s">
        <v>166</v>
      </c>
      <c r="I106" t="s">
        <v>235</v>
      </c>
      <c r="J106">
        <v>37.299782</v>
      </c>
      <c r="K106">
        <v>-6.6339090000000001</v>
      </c>
    </row>
    <row r="107" spans="1:11" x14ac:dyDescent="0.3">
      <c r="A107">
        <v>2106102</v>
      </c>
      <c r="B107" t="s">
        <v>335</v>
      </c>
      <c r="C107">
        <v>2</v>
      </c>
      <c r="D107">
        <v>21720</v>
      </c>
      <c r="E107">
        <v>3853</v>
      </c>
      <c r="F107" t="s">
        <v>115</v>
      </c>
      <c r="G107" t="s">
        <v>373</v>
      </c>
      <c r="H107" t="s">
        <v>151</v>
      </c>
      <c r="I107" t="s">
        <v>235</v>
      </c>
      <c r="J107">
        <v>37.270166000000003</v>
      </c>
      <c r="K107">
        <v>-6.6197749999999997</v>
      </c>
    </row>
    <row r="108" spans="1:11" x14ac:dyDescent="0.3">
      <c r="A108">
        <v>2106201</v>
      </c>
      <c r="B108" t="s">
        <v>336</v>
      </c>
      <c r="C108">
        <v>1</v>
      </c>
      <c r="D108">
        <v>21250</v>
      </c>
      <c r="E108">
        <v>1683</v>
      </c>
      <c r="F108" t="s">
        <v>94</v>
      </c>
      <c r="G108" t="s">
        <v>397</v>
      </c>
      <c r="H108" t="s">
        <v>165</v>
      </c>
      <c r="I108" t="s">
        <v>102</v>
      </c>
      <c r="J108">
        <v>37.924801000000002</v>
      </c>
      <c r="K108">
        <v>-7.1889779999999996</v>
      </c>
    </row>
    <row r="109" spans="1:11" x14ac:dyDescent="0.3">
      <c r="A109">
        <v>2106301</v>
      </c>
      <c r="B109" t="s">
        <v>337</v>
      </c>
      <c r="C109">
        <v>1</v>
      </c>
      <c r="D109">
        <v>21510</v>
      </c>
      <c r="E109">
        <v>3974</v>
      </c>
      <c r="F109" t="s">
        <v>133</v>
      </c>
      <c r="G109" t="s">
        <v>244</v>
      </c>
      <c r="H109" t="s">
        <v>164</v>
      </c>
      <c r="I109" t="s">
        <v>161</v>
      </c>
      <c r="J109">
        <v>37.420188000000003</v>
      </c>
      <c r="K109">
        <v>-7.1053879999999996</v>
      </c>
    </row>
    <row r="110" spans="1:11" x14ac:dyDescent="0.3">
      <c r="A110">
        <v>2106401</v>
      </c>
      <c r="B110" t="s">
        <v>338</v>
      </c>
      <c r="C110">
        <v>1</v>
      </c>
      <c r="D110">
        <v>21610</v>
      </c>
      <c r="E110">
        <v>4030</v>
      </c>
      <c r="F110" t="s">
        <v>90</v>
      </c>
      <c r="G110" t="s">
        <v>391</v>
      </c>
      <c r="H110" t="s">
        <v>247</v>
      </c>
      <c r="I110" t="s">
        <v>357</v>
      </c>
      <c r="J110">
        <v>37.298026</v>
      </c>
      <c r="K110">
        <v>-6.8536669999999997</v>
      </c>
    </row>
    <row r="111" spans="1:11" x14ac:dyDescent="0.3">
      <c r="A111">
        <v>2106402</v>
      </c>
      <c r="B111" t="s">
        <v>338</v>
      </c>
      <c r="C111">
        <v>2</v>
      </c>
      <c r="D111">
        <v>21610</v>
      </c>
      <c r="E111">
        <v>5658</v>
      </c>
      <c r="F111" t="s">
        <v>133</v>
      </c>
      <c r="G111" t="s">
        <v>391</v>
      </c>
      <c r="H111" t="s">
        <v>144</v>
      </c>
      <c r="I111" t="s">
        <v>357</v>
      </c>
      <c r="J111">
        <v>37.353954000000002</v>
      </c>
      <c r="K111">
        <v>-6.8623710000000004</v>
      </c>
    </row>
    <row r="112" spans="1:11" x14ac:dyDescent="0.3">
      <c r="A112">
        <v>2106601</v>
      </c>
      <c r="B112" t="s">
        <v>340</v>
      </c>
      <c r="C112">
        <v>1</v>
      </c>
      <c r="D112">
        <v>21591</v>
      </c>
      <c r="E112">
        <v>642</v>
      </c>
      <c r="F112" t="s">
        <v>99</v>
      </c>
      <c r="G112" t="s">
        <v>266</v>
      </c>
      <c r="H112" t="s">
        <v>106</v>
      </c>
      <c r="I112" t="s">
        <v>93</v>
      </c>
      <c r="J112">
        <v>37.385368999999997</v>
      </c>
      <c r="K112">
        <v>-7.3789300000000004</v>
      </c>
    </row>
    <row r="113" spans="1:11" x14ac:dyDescent="0.3">
      <c r="A113">
        <v>2106501</v>
      </c>
      <c r="B113" t="s">
        <v>339</v>
      </c>
      <c r="C113">
        <v>1</v>
      </c>
      <c r="D113">
        <v>21595</v>
      </c>
      <c r="E113">
        <v>419</v>
      </c>
      <c r="F113" t="s">
        <v>133</v>
      </c>
      <c r="G113" t="s">
        <v>100</v>
      </c>
      <c r="H113" t="s">
        <v>386</v>
      </c>
      <c r="I113" t="s">
        <v>107</v>
      </c>
      <c r="J113">
        <v>37.448855999999999</v>
      </c>
      <c r="K113">
        <v>-7.4033110000000004</v>
      </c>
    </row>
    <row r="114" spans="1:11" x14ac:dyDescent="0.3">
      <c r="A114">
        <v>2106701</v>
      </c>
      <c r="B114" t="s">
        <v>341</v>
      </c>
      <c r="C114">
        <v>1</v>
      </c>
      <c r="D114">
        <v>21230</v>
      </c>
      <c r="E114">
        <v>476</v>
      </c>
      <c r="F114" t="s">
        <v>133</v>
      </c>
      <c r="G114" t="s">
        <v>360</v>
      </c>
      <c r="H114" t="s">
        <v>274</v>
      </c>
      <c r="I114" t="s">
        <v>107</v>
      </c>
      <c r="J114">
        <v>37.853817999999997</v>
      </c>
      <c r="K114">
        <v>-6.7200040000000003</v>
      </c>
    </row>
    <row r="115" spans="1:11" x14ac:dyDescent="0.3">
      <c r="A115">
        <v>2106801</v>
      </c>
      <c r="B115" t="s">
        <v>342</v>
      </c>
      <c r="C115">
        <v>1</v>
      </c>
      <c r="D115">
        <v>21570</v>
      </c>
      <c r="E115">
        <v>1135</v>
      </c>
      <c r="F115" t="s">
        <v>94</v>
      </c>
      <c r="G115" t="s">
        <v>229</v>
      </c>
      <c r="H115" t="s">
        <v>127</v>
      </c>
      <c r="I115" t="s">
        <v>102</v>
      </c>
      <c r="J115">
        <v>37.796346999999997</v>
      </c>
      <c r="K115">
        <v>-7.2034200000000004</v>
      </c>
    </row>
    <row r="116" spans="1:11" x14ac:dyDescent="0.3">
      <c r="A116">
        <v>2106901</v>
      </c>
      <c r="B116" t="s">
        <v>343</v>
      </c>
      <c r="C116">
        <v>1</v>
      </c>
      <c r="D116">
        <v>21260</v>
      </c>
      <c r="E116">
        <v>2061</v>
      </c>
      <c r="F116" t="s">
        <v>90</v>
      </c>
      <c r="G116" t="s">
        <v>182</v>
      </c>
      <c r="H116" t="s">
        <v>246</v>
      </c>
      <c r="I116" t="s">
        <v>93</v>
      </c>
      <c r="J116">
        <v>37.879263000000002</v>
      </c>
      <c r="K116">
        <v>-6.2191539999999996</v>
      </c>
    </row>
    <row r="117" spans="1:11" x14ac:dyDescent="0.3">
      <c r="A117">
        <v>2107001</v>
      </c>
      <c r="B117" t="s">
        <v>344</v>
      </c>
      <c r="C117">
        <v>1</v>
      </c>
      <c r="D117">
        <v>21620</v>
      </c>
      <c r="E117">
        <v>5216</v>
      </c>
      <c r="F117" t="s">
        <v>133</v>
      </c>
      <c r="G117" t="s">
        <v>141</v>
      </c>
      <c r="H117" t="s">
        <v>160</v>
      </c>
      <c r="I117" t="s">
        <v>161</v>
      </c>
      <c r="J117">
        <v>37.461969000000003</v>
      </c>
      <c r="K117">
        <v>-6.8889519999999997</v>
      </c>
    </row>
    <row r="118" spans="1:11" x14ac:dyDescent="0.3">
      <c r="A118">
        <v>2107002</v>
      </c>
      <c r="B118" t="s">
        <v>344</v>
      </c>
      <c r="C118">
        <v>2</v>
      </c>
      <c r="D118">
        <v>21620</v>
      </c>
      <c r="E118">
        <v>2889</v>
      </c>
      <c r="F118" t="s">
        <v>163</v>
      </c>
      <c r="G118" t="s">
        <v>138</v>
      </c>
      <c r="H118" t="s">
        <v>148</v>
      </c>
      <c r="I118" t="s">
        <v>98</v>
      </c>
      <c r="J118">
        <v>37.380059000000003</v>
      </c>
      <c r="K118">
        <v>-6.8411559999999998</v>
      </c>
    </row>
    <row r="119" spans="1:11" x14ac:dyDescent="0.3">
      <c r="A119">
        <v>2107101</v>
      </c>
      <c r="B119" t="s">
        <v>345</v>
      </c>
      <c r="C119">
        <v>1</v>
      </c>
      <c r="D119">
        <v>21291</v>
      </c>
      <c r="E119">
        <v>236</v>
      </c>
      <c r="F119" t="s">
        <v>86</v>
      </c>
      <c r="G119" t="s">
        <v>158</v>
      </c>
      <c r="H119" t="s">
        <v>106</v>
      </c>
      <c r="I119" t="s">
        <v>207</v>
      </c>
      <c r="J119">
        <v>37.951909000000001</v>
      </c>
      <c r="K119">
        <v>-6.6714149999999997</v>
      </c>
    </row>
    <row r="120" spans="1:11" x14ac:dyDescent="0.3">
      <c r="A120">
        <v>2107201</v>
      </c>
      <c r="B120" t="s">
        <v>346</v>
      </c>
      <c r="C120">
        <v>1</v>
      </c>
      <c r="D120">
        <v>21600</v>
      </c>
      <c r="E120">
        <v>3948</v>
      </c>
      <c r="F120" t="s">
        <v>163</v>
      </c>
      <c r="G120" t="s">
        <v>108</v>
      </c>
      <c r="H120" t="s">
        <v>256</v>
      </c>
      <c r="I120" t="s">
        <v>98</v>
      </c>
      <c r="J120">
        <v>37.574587000000001</v>
      </c>
      <c r="K120">
        <v>-6.7557070000000001</v>
      </c>
    </row>
    <row r="121" spans="1:11" x14ac:dyDescent="0.3">
      <c r="A121">
        <v>2107202</v>
      </c>
      <c r="B121" t="s">
        <v>346</v>
      </c>
      <c r="C121">
        <v>2</v>
      </c>
      <c r="D121">
        <v>21600</v>
      </c>
      <c r="E121">
        <v>2845</v>
      </c>
      <c r="F121" t="s">
        <v>99</v>
      </c>
      <c r="G121" t="s">
        <v>97</v>
      </c>
      <c r="H121" t="s">
        <v>181</v>
      </c>
      <c r="I121" t="s">
        <v>98</v>
      </c>
      <c r="J121">
        <v>37.570985</v>
      </c>
      <c r="K121">
        <v>-6.7524480000000002</v>
      </c>
    </row>
    <row r="122" spans="1:11" x14ac:dyDescent="0.3">
      <c r="A122">
        <v>2107203</v>
      </c>
      <c r="B122" t="s">
        <v>346</v>
      </c>
      <c r="C122">
        <v>3</v>
      </c>
      <c r="D122">
        <v>21600</v>
      </c>
      <c r="E122">
        <v>5861</v>
      </c>
      <c r="F122" t="s">
        <v>110</v>
      </c>
      <c r="G122" t="s">
        <v>174</v>
      </c>
      <c r="H122" t="s">
        <v>218</v>
      </c>
      <c r="I122" t="s">
        <v>161</v>
      </c>
      <c r="J122">
        <v>37.572336</v>
      </c>
      <c r="K122">
        <v>-6.758972</v>
      </c>
    </row>
    <row r="123" spans="1:11" x14ac:dyDescent="0.3">
      <c r="A123">
        <v>2107301</v>
      </c>
      <c r="B123" t="s">
        <v>347</v>
      </c>
      <c r="C123">
        <v>1</v>
      </c>
      <c r="D123">
        <v>21590</v>
      </c>
      <c r="E123">
        <v>2918</v>
      </c>
      <c r="F123" t="s">
        <v>86</v>
      </c>
      <c r="G123" t="s">
        <v>201</v>
      </c>
      <c r="H123" t="s">
        <v>373</v>
      </c>
      <c r="I123" t="s">
        <v>98</v>
      </c>
      <c r="J123">
        <v>37.307746000000002</v>
      </c>
      <c r="K123">
        <v>-7.3307140000000004</v>
      </c>
    </row>
    <row r="124" spans="1:11" x14ac:dyDescent="0.3">
      <c r="A124">
        <v>2107401</v>
      </c>
      <c r="B124" t="s">
        <v>348</v>
      </c>
      <c r="C124">
        <v>1</v>
      </c>
      <c r="D124">
        <v>21860</v>
      </c>
      <c r="E124">
        <v>3296</v>
      </c>
      <c r="F124" t="s">
        <v>94</v>
      </c>
      <c r="G124" t="s">
        <v>174</v>
      </c>
      <c r="H124" t="s">
        <v>252</v>
      </c>
      <c r="I124" t="s">
        <v>161</v>
      </c>
      <c r="J124">
        <v>37.395007</v>
      </c>
      <c r="K124">
        <v>-6.4744989999999998</v>
      </c>
    </row>
    <row r="125" spans="1:11" x14ac:dyDescent="0.3">
      <c r="A125">
        <v>2107501</v>
      </c>
      <c r="B125" t="s">
        <v>349</v>
      </c>
      <c r="C125">
        <v>1</v>
      </c>
      <c r="D125">
        <v>21592</v>
      </c>
      <c r="E125">
        <v>379</v>
      </c>
      <c r="F125" t="s">
        <v>90</v>
      </c>
      <c r="G125" t="s">
        <v>158</v>
      </c>
      <c r="H125" t="s">
        <v>398</v>
      </c>
      <c r="I125" t="s">
        <v>172</v>
      </c>
      <c r="J125">
        <v>37.618982000000003</v>
      </c>
      <c r="K125">
        <v>-7.0142110000000004</v>
      </c>
    </row>
    <row r="126" spans="1:11" x14ac:dyDescent="0.3">
      <c r="A126">
        <v>2107601</v>
      </c>
      <c r="B126" t="s">
        <v>350</v>
      </c>
      <c r="C126">
        <v>1</v>
      </c>
      <c r="D126">
        <v>21540</v>
      </c>
      <c r="E126">
        <v>1721</v>
      </c>
      <c r="F126" t="s">
        <v>133</v>
      </c>
      <c r="G126" t="s">
        <v>103</v>
      </c>
      <c r="H126" t="s">
        <v>241</v>
      </c>
      <c r="I126" t="s">
        <v>98</v>
      </c>
      <c r="J126">
        <v>37.485138999999997</v>
      </c>
      <c r="K126">
        <v>-7.1937259999999998</v>
      </c>
    </row>
    <row r="127" spans="1:11" x14ac:dyDescent="0.3">
      <c r="A127">
        <v>2107602</v>
      </c>
      <c r="B127" t="s">
        <v>350</v>
      </c>
      <c r="C127">
        <v>2</v>
      </c>
      <c r="D127">
        <v>21540</v>
      </c>
      <c r="E127">
        <v>1170</v>
      </c>
      <c r="F127" t="s">
        <v>90</v>
      </c>
      <c r="G127" t="s">
        <v>144</v>
      </c>
      <c r="H127" t="s">
        <v>108</v>
      </c>
      <c r="I127" t="s">
        <v>93</v>
      </c>
      <c r="J127">
        <v>37.430416000000001</v>
      </c>
      <c r="K127">
        <v>-7.2194849999999997</v>
      </c>
    </row>
    <row r="128" spans="1:11" x14ac:dyDescent="0.3">
      <c r="A128">
        <v>2107701</v>
      </c>
      <c r="B128" t="s">
        <v>351</v>
      </c>
      <c r="C128">
        <v>1</v>
      </c>
      <c r="D128">
        <v>21850</v>
      </c>
      <c r="E128">
        <v>801</v>
      </c>
      <c r="F128" t="s">
        <v>86</v>
      </c>
      <c r="G128" t="s">
        <v>191</v>
      </c>
      <c r="H128" t="s">
        <v>167</v>
      </c>
      <c r="I128" t="s">
        <v>98</v>
      </c>
      <c r="J128">
        <v>37.414807000000003</v>
      </c>
      <c r="K128">
        <v>-6.6368099999999997</v>
      </c>
    </row>
    <row r="129" spans="1:11" x14ac:dyDescent="0.3">
      <c r="A129">
        <v>2107702</v>
      </c>
      <c r="B129" t="s">
        <v>351</v>
      </c>
      <c r="C129">
        <v>2</v>
      </c>
      <c r="D129">
        <v>21850</v>
      </c>
      <c r="E129">
        <v>1343</v>
      </c>
      <c r="F129" t="s">
        <v>133</v>
      </c>
      <c r="G129" t="s">
        <v>239</v>
      </c>
      <c r="H129" t="s">
        <v>263</v>
      </c>
      <c r="I129" t="s">
        <v>161</v>
      </c>
      <c r="J129">
        <v>37.365470000000002</v>
      </c>
      <c r="K129">
        <v>-6.6065930000000002</v>
      </c>
    </row>
    <row r="130" spans="1:11" x14ac:dyDescent="0.3">
      <c r="A130">
        <v>2107801</v>
      </c>
      <c r="B130" t="s">
        <v>352</v>
      </c>
      <c r="C130">
        <v>1</v>
      </c>
      <c r="D130">
        <v>21640</v>
      </c>
      <c r="E130">
        <v>1665</v>
      </c>
      <c r="F130" t="s">
        <v>99</v>
      </c>
      <c r="G130" t="s">
        <v>136</v>
      </c>
      <c r="H130" t="s">
        <v>399</v>
      </c>
      <c r="I130" t="s">
        <v>93</v>
      </c>
      <c r="J130">
        <v>37.656064000000001</v>
      </c>
      <c r="K130">
        <v>-6.7508879999999998</v>
      </c>
    </row>
    <row r="131" spans="1:11" x14ac:dyDescent="0.3">
      <c r="A131">
        <v>2107802</v>
      </c>
      <c r="B131" t="s">
        <v>352</v>
      </c>
      <c r="C131">
        <v>2</v>
      </c>
      <c r="D131">
        <v>21640</v>
      </c>
      <c r="E131">
        <v>1297</v>
      </c>
      <c r="F131" t="s">
        <v>99</v>
      </c>
      <c r="G131" t="s">
        <v>157</v>
      </c>
      <c r="H131" t="s">
        <v>251</v>
      </c>
      <c r="I131" t="s">
        <v>93</v>
      </c>
      <c r="J131">
        <v>37.612152000000002</v>
      </c>
      <c r="K131">
        <v>-6.6066690000000001</v>
      </c>
    </row>
    <row r="132" spans="1:11" x14ac:dyDescent="0.3">
      <c r="A132">
        <v>2190201</v>
      </c>
      <c r="B132" t="s">
        <v>354</v>
      </c>
      <c r="C132">
        <v>1</v>
      </c>
      <c r="D132">
        <v>21310</v>
      </c>
      <c r="E132">
        <v>1191</v>
      </c>
      <c r="F132" t="s">
        <v>99</v>
      </c>
      <c r="G132" t="s">
        <v>214</v>
      </c>
      <c r="H132" t="s">
        <v>393</v>
      </c>
      <c r="I132" t="s">
        <v>107</v>
      </c>
      <c r="J132">
        <v>37.690624</v>
      </c>
      <c r="K132">
        <v>-6.8735499999999998</v>
      </c>
    </row>
    <row r="133" spans="1:11" x14ac:dyDescent="0.3">
      <c r="A133">
        <v>2107901</v>
      </c>
      <c r="B133" t="s">
        <v>353</v>
      </c>
      <c r="C133">
        <v>1</v>
      </c>
      <c r="D133">
        <v>21210</v>
      </c>
      <c r="E133">
        <v>736</v>
      </c>
      <c r="F133" t="s">
        <v>90</v>
      </c>
      <c r="G133" t="s">
        <v>156</v>
      </c>
      <c r="H133" t="s">
        <v>400</v>
      </c>
      <c r="I133" t="s">
        <v>102</v>
      </c>
      <c r="J133">
        <v>37.823095000000002</v>
      </c>
      <c r="K133">
        <v>-6.3607839999999998</v>
      </c>
    </row>
  </sheetData>
  <autoFilter ref="A1:I133" xr:uid="{44E60B1F-1ADA-4579-9618-842FEE187350}">
    <sortState xmlns:xlrd2="http://schemas.microsoft.com/office/spreadsheetml/2017/richdata2" ref="A2:I133">
      <sortCondition ref="B1:B13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84BD-DC8B-4F47-8472-BECA0F32F07D}">
  <dimension ref="A1:K219"/>
  <sheetViews>
    <sheetView topLeftCell="A2" workbookViewId="0">
      <selection activeCell="J219" sqref="J2:K219"/>
    </sheetView>
  </sheetViews>
  <sheetFormatPr baseColWidth="10" defaultRowHeight="14.4" x14ac:dyDescent="0.3"/>
  <cols>
    <col min="1" max="1" width="9.77734375" bestFit="1" customWidth="1"/>
    <col min="2" max="2" width="16.44140625" customWidth="1"/>
    <col min="3" max="3" width="11.5546875" customWidth="1"/>
    <col min="4" max="4" width="14.5546875" customWidth="1"/>
    <col min="5" max="5" width="11.88671875" customWidth="1"/>
    <col min="6" max="6" width="20.44140625" customWidth="1"/>
    <col min="7" max="7" width="16.109375" customWidth="1"/>
    <col min="8" max="8" width="16.88671875" customWidth="1"/>
    <col min="9" max="9" width="21.88671875" customWidth="1"/>
  </cols>
  <sheetData>
    <row r="1" spans="1:11" ht="43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82</v>
      </c>
      <c r="F1" s="4" t="s">
        <v>85</v>
      </c>
      <c r="G1" s="4" t="s">
        <v>83</v>
      </c>
      <c r="H1" s="4" t="s">
        <v>84</v>
      </c>
      <c r="I1" s="4" t="s">
        <v>81</v>
      </c>
    </row>
    <row r="2" spans="1:11" x14ac:dyDescent="0.3">
      <c r="A2">
        <v>4100101</v>
      </c>
      <c r="B2" t="s">
        <v>415</v>
      </c>
      <c r="C2">
        <v>1</v>
      </c>
      <c r="D2">
        <v>41550</v>
      </c>
      <c r="E2">
        <v>861</v>
      </c>
      <c r="F2" t="s">
        <v>90</v>
      </c>
      <c r="G2" t="s">
        <v>109</v>
      </c>
      <c r="H2" t="s">
        <v>401</v>
      </c>
      <c r="I2" t="s">
        <v>93</v>
      </c>
      <c r="J2">
        <v>37.252105</v>
      </c>
      <c r="K2">
        <v>-4.9971740000000002</v>
      </c>
    </row>
    <row r="3" spans="1:11" x14ac:dyDescent="0.3">
      <c r="A3">
        <v>4100102</v>
      </c>
      <c r="B3" t="s">
        <v>415</v>
      </c>
      <c r="C3">
        <v>2</v>
      </c>
      <c r="D3">
        <v>41550</v>
      </c>
      <c r="E3">
        <v>1191</v>
      </c>
      <c r="F3" t="s">
        <v>94</v>
      </c>
      <c r="G3" t="s">
        <v>162</v>
      </c>
      <c r="H3" t="s">
        <v>95</v>
      </c>
      <c r="I3" t="s">
        <v>98</v>
      </c>
      <c r="J3">
        <v>37.249564999999997</v>
      </c>
      <c r="K3">
        <v>-4.977347</v>
      </c>
    </row>
    <row r="4" spans="1:11" x14ac:dyDescent="0.3">
      <c r="A4">
        <v>4100201</v>
      </c>
      <c r="B4" t="s">
        <v>416</v>
      </c>
      <c r="C4">
        <v>1</v>
      </c>
      <c r="D4">
        <v>41380</v>
      </c>
      <c r="E4">
        <v>1657</v>
      </c>
      <c r="F4" t="s">
        <v>94</v>
      </c>
      <c r="G4" t="s">
        <v>100</v>
      </c>
      <c r="H4" t="s">
        <v>152</v>
      </c>
      <c r="I4" t="s">
        <v>102</v>
      </c>
      <c r="J4">
        <v>38.044153000000001</v>
      </c>
      <c r="K4">
        <v>-5.623837</v>
      </c>
    </row>
    <row r="5" spans="1:11" x14ac:dyDescent="0.3">
      <c r="A5">
        <v>4100301</v>
      </c>
      <c r="B5" t="s">
        <v>417</v>
      </c>
      <c r="C5">
        <v>1</v>
      </c>
      <c r="D5">
        <v>41805</v>
      </c>
      <c r="E5">
        <v>3227</v>
      </c>
      <c r="F5" t="s">
        <v>86</v>
      </c>
      <c r="G5" t="s">
        <v>148</v>
      </c>
      <c r="H5" t="s">
        <v>142</v>
      </c>
      <c r="I5" t="s">
        <v>357</v>
      </c>
      <c r="J5">
        <v>37.441462000000001</v>
      </c>
      <c r="K5">
        <v>-6.1789759999999996</v>
      </c>
    </row>
    <row r="6" spans="1:11" x14ac:dyDescent="0.3">
      <c r="A6">
        <v>4100401</v>
      </c>
      <c r="B6" t="s">
        <v>418</v>
      </c>
      <c r="C6">
        <v>1</v>
      </c>
      <c r="D6">
        <v>41500</v>
      </c>
      <c r="E6">
        <v>3547</v>
      </c>
      <c r="F6" t="s">
        <v>110</v>
      </c>
      <c r="G6" t="s">
        <v>373</v>
      </c>
      <c r="H6" t="s">
        <v>255</v>
      </c>
      <c r="I6" t="s">
        <v>161</v>
      </c>
      <c r="J6">
        <v>37.329180000000001</v>
      </c>
      <c r="K6">
        <v>-5.8305400000000001</v>
      </c>
    </row>
    <row r="7" spans="1:11" x14ac:dyDescent="0.3">
      <c r="A7">
        <v>4100402</v>
      </c>
      <c r="B7" t="s">
        <v>418</v>
      </c>
      <c r="C7">
        <v>2</v>
      </c>
      <c r="D7">
        <v>41500</v>
      </c>
      <c r="E7">
        <v>8372</v>
      </c>
      <c r="F7" t="s">
        <v>163</v>
      </c>
      <c r="G7" t="s">
        <v>120</v>
      </c>
      <c r="H7" t="s">
        <v>204</v>
      </c>
      <c r="I7" t="s">
        <v>235</v>
      </c>
      <c r="J7">
        <v>37.334136999999998</v>
      </c>
      <c r="K7">
        <v>-5.8529910000000003</v>
      </c>
    </row>
    <row r="8" spans="1:11" x14ac:dyDescent="0.3">
      <c r="A8">
        <v>4100403</v>
      </c>
      <c r="B8" t="s">
        <v>418</v>
      </c>
      <c r="C8">
        <v>3</v>
      </c>
      <c r="D8">
        <v>41500</v>
      </c>
      <c r="E8">
        <v>13939</v>
      </c>
      <c r="F8" t="s">
        <v>99</v>
      </c>
      <c r="G8" t="s">
        <v>140</v>
      </c>
      <c r="H8" t="s">
        <v>246</v>
      </c>
      <c r="I8" t="s">
        <v>161</v>
      </c>
      <c r="J8">
        <v>37.338918</v>
      </c>
      <c r="K8">
        <v>-5.840973</v>
      </c>
    </row>
    <row r="9" spans="1:11" x14ac:dyDescent="0.3">
      <c r="A9">
        <v>4100404</v>
      </c>
      <c r="B9" t="s">
        <v>418</v>
      </c>
      <c r="C9">
        <v>4</v>
      </c>
      <c r="D9">
        <v>41500</v>
      </c>
      <c r="E9">
        <v>50187</v>
      </c>
      <c r="F9" t="s">
        <v>99</v>
      </c>
      <c r="G9" t="s">
        <v>167</v>
      </c>
      <c r="H9" t="s">
        <v>271</v>
      </c>
      <c r="I9" t="s">
        <v>357</v>
      </c>
      <c r="J9">
        <v>37.337699000000001</v>
      </c>
      <c r="K9">
        <v>-5.8374949999999997</v>
      </c>
    </row>
    <row r="10" spans="1:11" x14ac:dyDescent="0.3">
      <c r="A10">
        <v>4100501</v>
      </c>
      <c r="B10" t="s">
        <v>419</v>
      </c>
      <c r="C10">
        <v>1</v>
      </c>
      <c r="D10">
        <v>41200</v>
      </c>
      <c r="E10">
        <v>1975</v>
      </c>
      <c r="F10" t="s">
        <v>390</v>
      </c>
      <c r="G10" t="s">
        <v>151</v>
      </c>
      <c r="H10" t="s">
        <v>189</v>
      </c>
      <c r="I10" t="s">
        <v>89</v>
      </c>
      <c r="J10">
        <v>37.521763999999997</v>
      </c>
      <c r="K10">
        <v>-5.9773059999999996</v>
      </c>
    </row>
    <row r="11" spans="1:11" x14ac:dyDescent="0.3">
      <c r="A11">
        <v>4100502</v>
      </c>
      <c r="B11" t="s">
        <v>419</v>
      </c>
      <c r="C11">
        <v>2</v>
      </c>
      <c r="D11">
        <v>41209</v>
      </c>
      <c r="E11">
        <v>10307</v>
      </c>
      <c r="F11" t="s">
        <v>90</v>
      </c>
      <c r="G11" t="s">
        <v>180</v>
      </c>
      <c r="H11" t="s">
        <v>156</v>
      </c>
      <c r="I11" t="s">
        <v>235</v>
      </c>
      <c r="J11">
        <v>37.517091999999998</v>
      </c>
      <c r="K11">
        <v>-5.9832369999999999</v>
      </c>
    </row>
    <row r="12" spans="1:11" x14ac:dyDescent="0.3">
      <c r="A12">
        <v>4100601</v>
      </c>
      <c r="B12" t="s">
        <v>420</v>
      </c>
      <c r="C12">
        <v>1</v>
      </c>
      <c r="D12">
        <v>41449</v>
      </c>
      <c r="E12">
        <v>1488</v>
      </c>
      <c r="F12" t="s">
        <v>86</v>
      </c>
      <c r="G12" t="s">
        <v>138</v>
      </c>
      <c r="H12" t="s">
        <v>168</v>
      </c>
      <c r="I12" t="s">
        <v>161</v>
      </c>
      <c r="J12">
        <v>37.615079999999999</v>
      </c>
      <c r="K12">
        <v>-5.6645209999999997</v>
      </c>
    </row>
    <row r="13" spans="1:11" x14ac:dyDescent="0.3">
      <c r="A13">
        <v>4100602</v>
      </c>
      <c r="B13" t="s">
        <v>420</v>
      </c>
      <c r="C13">
        <v>2</v>
      </c>
      <c r="D13">
        <v>41449</v>
      </c>
      <c r="E13">
        <v>1795</v>
      </c>
      <c r="F13" t="s">
        <v>115</v>
      </c>
      <c r="G13" t="s">
        <v>223</v>
      </c>
      <c r="H13" t="s">
        <v>97</v>
      </c>
      <c r="I13" t="s">
        <v>161</v>
      </c>
      <c r="J13">
        <v>37.617798999999998</v>
      </c>
      <c r="K13">
        <v>-5.6689699999999998</v>
      </c>
    </row>
    <row r="14" spans="1:11" x14ac:dyDescent="0.3">
      <c r="A14">
        <v>4100701</v>
      </c>
      <c r="B14" t="s">
        <v>496</v>
      </c>
      <c r="C14">
        <v>1</v>
      </c>
      <c r="D14">
        <v>41980</v>
      </c>
      <c r="E14">
        <v>4688</v>
      </c>
      <c r="F14" t="s">
        <v>133</v>
      </c>
      <c r="G14" t="s">
        <v>141</v>
      </c>
      <c r="H14" t="s">
        <v>168</v>
      </c>
      <c r="I14" t="s">
        <v>161</v>
      </c>
      <c r="J14">
        <v>37.462276000000003</v>
      </c>
      <c r="K14">
        <v>-6.0151890000000003</v>
      </c>
    </row>
    <row r="15" spans="1:11" x14ac:dyDescent="0.3">
      <c r="A15">
        <v>4100702</v>
      </c>
      <c r="B15" t="s">
        <v>496</v>
      </c>
      <c r="C15">
        <v>2</v>
      </c>
      <c r="D15">
        <v>41980</v>
      </c>
      <c r="E15">
        <v>11992</v>
      </c>
      <c r="F15" t="s">
        <v>133</v>
      </c>
      <c r="G15" t="s">
        <v>192</v>
      </c>
      <c r="H15" t="s">
        <v>134</v>
      </c>
      <c r="I15" t="s">
        <v>357</v>
      </c>
      <c r="J15">
        <v>37.459479000000002</v>
      </c>
      <c r="K15">
        <v>-6.0181339999999999</v>
      </c>
    </row>
    <row r="16" spans="1:11" x14ac:dyDescent="0.3">
      <c r="A16">
        <v>4100801</v>
      </c>
      <c r="B16" t="s">
        <v>421</v>
      </c>
      <c r="C16">
        <v>1</v>
      </c>
      <c r="D16">
        <v>41661</v>
      </c>
      <c r="E16">
        <v>1231</v>
      </c>
      <c r="F16" t="s">
        <v>86</v>
      </c>
      <c r="G16" t="s">
        <v>198</v>
      </c>
      <c r="H16" t="s">
        <v>233</v>
      </c>
      <c r="I16" t="s">
        <v>93</v>
      </c>
      <c r="J16">
        <v>37.017775999999998</v>
      </c>
      <c r="K16">
        <v>-5.155843</v>
      </c>
    </row>
    <row r="17" spans="1:11" x14ac:dyDescent="0.3">
      <c r="A17">
        <v>4100901</v>
      </c>
      <c r="B17" t="s">
        <v>422</v>
      </c>
      <c r="C17">
        <v>1</v>
      </c>
      <c r="D17">
        <v>41240</v>
      </c>
      <c r="E17">
        <v>1293</v>
      </c>
      <c r="F17" t="s">
        <v>90</v>
      </c>
      <c r="G17" t="s">
        <v>136</v>
      </c>
      <c r="H17" t="s">
        <v>399</v>
      </c>
      <c r="I17" t="s">
        <v>102</v>
      </c>
      <c r="J17">
        <v>37.873502000000002</v>
      </c>
      <c r="K17">
        <v>-6.084454</v>
      </c>
    </row>
    <row r="18" spans="1:11" x14ac:dyDescent="0.3">
      <c r="A18">
        <v>4101001</v>
      </c>
      <c r="B18" t="s">
        <v>423</v>
      </c>
      <c r="C18">
        <v>1</v>
      </c>
      <c r="D18">
        <v>41111</v>
      </c>
      <c r="E18">
        <v>6667</v>
      </c>
      <c r="F18" t="s">
        <v>163</v>
      </c>
      <c r="G18" t="s">
        <v>203</v>
      </c>
      <c r="H18" t="s">
        <v>247</v>
      </c>
      <c r="I18" t="s">
        <v>235</v>
      </c>
      <c r="J18">
        <v>37.310169000000002</v>
      </c>
      <c r="K18">
        <v>-6.1273350000000004</v>
      </c>
    </row>
    <row r="19" spans="1:11" x14ac:dyDescent="0.3">
      <c r="A19">
        <v>4101101</v>
      </c>
      <c r="B19" t="s">
        <v>424</v>
      </c>
      <c r="C19">
        <v>1</v>
      </c>
      <c r="D19">
        <v>41600</v>
      </c>
      <c r="E19">
        <v>5663</v>
      </c>
      <c r="F19" t="s">
        <v>133</v>
      </c>
      <c r="G19" t="s">
        <v>117</v>
      </c>
      <c r="H19" t="s">
        <v>118</v>
      </c>
      <c r="I19" t="s">
        <v>357</v>
      </c>
      <c r="J19">
        <v>37.258493999999999</v>
      </c>
      <c r="K19">
        <v>-5.5470389999999998</v>
      </c>
    </row>
    <row r="20" spans="1:11" x14ac:dyDescent="0.3">
      <c r="A20">
        <v>4101102</v>
      </c>
      <c r="B20" t="s">
        <v>424</v>
      </c>
      <c r="C20">
        <v>2</v>
      </c>
      <c r="D20">
        <v>41600</v>
      </c>
      <c r="E20">
        <v>3582</v>
      </c>
      <c r="F20" t="s">
        <v>99</v>
      </c>
      <c r="G20" t="s">
        <v>255</v>
      </c>
      <c r="H20" t="s">
        <v>192</v>
      </c>
      <c r="I20" t="s">
        <v>357</v>
      </c>
      <c r="J20">
        <v>37.263170000000002</v>
      </c>
      <c r="K20">
        <v>-5.54026</v>
      </c>
    </row>
    <row r="21" spans="1:11" x14ac:dyDescent="0.3">
      <c r="A21">
        <v>4101103</v>
      </c>
      <c r="B21" t="s">
        <v>424</v>
      </c>
      <c r="C21">
        <v>3</v>
      </c>
      <c r="D21">
        <v>41600</v>
      </c>
      <c r="E21">
        <v>4936</v>
      </c>
      <c r="F21" t="s">
        <v>133</v>
      </c>
      <c r="G21" t="s">
        <v>180</v>
      </c>
      <c r="H21" t="s">
        <v>153</v>
      </c>
      <c r="I21" t="s">
        <v>358</v>
      </c>
      <c r="J21">
        <v>37.267805000000003</v>
      </c>
      <c r="K21">
        <v>-5.5505259999999996</v>
      </c>
    </row>
    <row r="22" spans="1:11" x14ac:dyDescent="0.3">
      <c r="A22">
        <v>4101104</v>
      </c>
      <c r="B22" t="s">
        <v>424</v>
      </c>
      <c r="C22">
        <v>4</v>
      </c>
      <c r="D22">
        <v>41600</v>
      </c>
      <c r="E22">
        <v>4958</v>
      </c>
      <c r="F22" t="s">
        <v>90</v>
      </c>
      <c r="G22" t="s">
        <v>243</v>
      </c>
      <c r="H22" t="s">
        <v>239</v>
      </c>
      <c r="I22" t="s">
        <v>357</v>
      </c>
      <c r="J22">
        <v>37.191195</v>
      </c>
      <c r="K22">
        <v>-5.6028250000000002</v>
      </c>
    </row>
    <row r="23" spans="1:11" x14ac:dyDescent="0.3">
      <c r="A23">
        <v>4101201</v>
      </c>
      <c r="B23" t="s">
        <v>425</v>
      </c>
      <c r="C23">
        <v>1</v>
      </c>
      <c r="D23">
        <v>41849</v>
      </c>
      <c r="E23">
        <v>4835</v>
      </c>
      <c r="F23" t="s">
        <v>86</v>
      </c>
      <c r="G23" t="s">
        <v>104</v>
      </c>
      <c r="H23" t="s">
        <v>177</v>
      </c>
      <c r="I23" t="s">
        <v>161</v>
      </c>
      <c r="J23">
        <v>37.313628999999999</v>
      </c>
      <c r="K23">
        <v>-6.255109</v>
      </c>
    </row>
    <row r="24" spans="1:11" x14ac:dyDescent="0.3">
      <c r="A24">
        <v>4101301</v>
      </c>
      <c r="B24" t="s">
        <v>426</v>
      </c>
      <c r="C24">
        <v>1</v>
      </c>
      <c r="D24">
        <v>41870</v>
      </c>
      <c r="E24">
        <v>2477</v>
      </c>
      <c r="F24" t="s">
        <v>90</v>
      </c>
      <c r="G24" t="s">
        <v>140</v>
      </c>
      <c r="H24" t="s">
        <v>243</v>
      </c>
      <c r="I24" t="s">
        <v>98</v>
      </c>
      <c r="J24">
        <v>37.523308</v>
      </c>
      <c r="K24">
        <v>-6.2676610000000004</v>
      </c>
    </row>
    <row r="25" spans="1:11" x14ac:dyDescent="0.3">
      <c r="A25">
        <v>4101302</v>
      </c>
      <c r="B25" t="s">
        <v>426</v>
      </c>
      <c r="C25">
        <v>2</v>
      </c>
      <c r="D25">
        <v>41870</v>
      </c>
      <c r="E25">
        <v>3621</v>
      </c>
      <c r="F25" t="s">
        <v>90</v>
      </c>
      <c r="G25" t="s">
        <v>108</v>
      </c>
      <c r="H25" t="s">
        <v>95</v>
      </c>
      <c r="I25" t="s">
        <v>235</v>
      </c>
      <c r="J25">
        <v>37.516921000000004</v>
      </c>
      <c r="K25">
        <v>-6.2635160000000001</v>
      </c>
    </row>
    <row r="26" spans="1:11" x14ac:dyDescent="0.3">
      <c r="A26">
        <v>4101401</v>
      </c>
      <c r="B26" t="s">
        <v>427</v>
      </c>
      <c r="C26">
        <v>1</v>
      </c>
      <c r="D26">
        <v>41570</v>
      </c>
      <c r="E26">
        <v>3076</v>
      </c>
      <c r="F26" t="s">
        <v>115</v>
      </c>
      <c r="G26" t="s">
        <v>114</v>
      </c>
      <c r="H26" t="s">
        <v>239</v>
      </c>
      <c r="I26" t="s">
        <v>98</v>
      </c>
      <c r="J26">
        <v>37.298859999999998</v>
      </c>
      <c r="K26">
        <v>-4.6951679999999998</v>
      </c>
    </row>
    <row r="27" spans="1:11" x14ac:dyDescent="0.3">
      <c r="A27">
        <v>4101501</v>
      </c>
      <c r="B27" t="s">
        <v>428</v>
      </c>
      <c r="C27">
        <v>1</v>
      </c>
      <c r="D27">
        <v>41805</v>
      </c>
      <c r="E27">
        <v>2577</v>
      </c>
      <c r="F27" t="s">
        <v>90</v>
      </c>
      <c r="G27" t="s">
        <v>159</v>
      </c>
      <c r="H27" t="s">
        <v>103</v>
      </c>
      <c r="I27" t="s">
        <v>235</v>
      </c>
      <c r="J27">
        <v>37.336137000000001</v>
      </c>
      <c r="K27">
        <v>-6.2144250000000003</v>
      </c>
    </row>
    <row r="28" spans="1:11" x14ac:dyDescent="0.3">
      <c r="A28">
        <v>4101502</v>
      </c>
      <c r="B28" t="s">
        <v>428</v>
      </c>
      <c r="C28">
        <v>2</v>
      </c>
      <c r="D28">
        <v>41805</v>
      </c>
      <c r="E28">
        <v>4770</v>
      </c>
      <c r="F28" t="s">
        <v>86</v>
      </c>
      <c r="G28" t="s">
        <v>228</v>
      </c>
      <c r="H28" t="s">
        <v>368</v>
      </c>
      <c r="I28" t="s">
        <v>357</v>
      </c>
      <c r="J28">
        <v>37.350212999999997</v>
      </c>
      <c r="K28">
        <v>-6.195462</v>
      </c>
    </row>
    <row r="29" spans="1:11" x14ac:dyDescent="0.3">
      <c r="A29">
        <v>4101601</v>
      </c>
      <c r="B29" t="s">
        <v>429</v>
      </c>
      <c r="C29">
        <v>1</v>
      </c>
      <c r="D29">
        <v>41110</v>
      </c>
      <c r="E29">
        <v>6589</v>
      </c>
      <c r="F29" t="s">
        <v>163</v>
      </c>
      <c r="G29" t="s">
        <v>218</v>
      </c>
      <c r="H29" t="s">
        <v>157</v>
      </c>
      <c r="I29" t="s">
        <v>376</v>
      </c>
      <c r="J29">
        <v>37.341895000000001</v>
      </c>
      <c r="K29">
        <v>-6.1471289999999996</v>
      </c>
    </row>
    <row r="30" spans="1:11" x14ac:dyDescent="0.3">
      <c r="A30">
        <v>4101602</v>
      </c>
      <c r="B30" t="s">
        <v>429</v>
      </c>
      <c r="C30">
        <v>2</v>
      </c>
      <c r="D30">
        <v>41110</v>
      </c>
      <c r="E30">
        <v>4546</v>
      </c>
      <c r="F30" t="s">
        <v>110</v>
      </c>
      <c r="G30" t="s">
        <v>152</v>
      </c>
      <c r="H30" t="s">
        <v>157</v>
      </c>
      <c r="I30" t="s">
        <v>358</v>
      </c>
      <c r="J30">
        <v>37.343969999999999</v>
      </c>
      <c r="K30">
        <v>-6.1349549999999997</v>
      </c>
    </row>
    <row r="31" spans="1:11" x14ac:dyDescent="0.3">
      <c r="A31">
        <v>4101701</v>
      </c>
      <c r="B31" t="s">
        <v>430</v>
      </c>
      <c r="C31">
        <v>1</v>
      </c>
      <c r="D31">
        <v>41930</v>
      </c>
      <c r="E31">
        <v>22910</v>
      </c>
      <c r="F31" t="s">
        <v>389</v>
      </c>
      <c r="G31" t="s">
        <v>124</v>
      </c>
      <c r="H31" t="s">
        <v>225</v>
      </c>
      <c r="I31" t="s">
        <v>376</v>
      </c>
      <c r="J31">
        <v>37.372357000000001</v>
      </c>
      <c r="K31">
        <v>-6.0686780000000002</v>
      </c>
    </row>
    <row r="32" spans="1:11" x14ac:dyDescent="0.3">
      <c r="A32">
        <v>4101801</v>
      </c>
      <c r="B32" t="s">
        <v>431</v>
      </c>
      <c r="C32">
        <v>1</v>
      </c>
      <c r="D32">
        <v>41310</v>
      </c>
      <c r="E32">
        <v>12815</v>
      </c>
      <c r="F32" t="s">
        <v>90</v>
      </c>
      <c r="G32" t="s">
        <v>109</v>
      </c>
      <c r="H32" t="s">
        <v>111</v>
      </c>
      <c r="I32" t="s">
        <v>235</v>
      </c>
      <c r="J32">
        <v>37.550109999999997</v>
      </c>
      <c r="K32">
        <v>-5.8763379999999996</v>
      </c>
    </row>
    <row r="33" spans="1:11" x14ac:dyDescent="0.3">
      <c r="A33">
        <v>4101901</v>
      </c>
      <c r="B33" t="s">
        <v>432</v>
      </c>
      <c r="C33">
        <v>1</v>
      </c>
      <c r="D33">
        <v>41209</v>
      </c>
      <c r="E33">
        <v>7314</v>
      </c>
      <c r="F33" t="s">
        <v>94</v>
      </c>
      <c r="G33" t="s">
        <v>370</v>
      </c>
      <c r="H33" t="s">
        <v>125</v>
      </c>
      <c r="I33" t="s">
        <v>357</v>
      </c>
      <c r="J33">
        <v>37.601502000000004</v>
      </c>
      <c r="K33">
        <v>-5.9584349999999997</v>
      </c>
    </row>
    <row r="34" spans="1:11" x14ac:dyDescent="0.3">
      <c r="A34">
        <v>4102001</v>
      </c>
      <c r="B34" t="s">
        <v>497</v>
      </c>
      <c r="C34">
        <v>1</v>
      </c>
      <c r="D34">
        <v>41730</v>
      </c>
      <c r="E34">
        <v>5133</v>
      </c>
      <c r="F34" t="s">
        <v>94</v>
      </c>
      <c r="G34" t="s">
        <v>166</v>
      </c>
      <c r="H34" t="s">
        <v>140</v>
      </c>
      <c r="I34" t="s">
        <v>357</v>
      </c>
      <c r="J34">
        <v>36.979393000000002</v>
      </c>
      <c r="K34">
        <v>-5.9439149999999996</v>
      </c>
    </row>
    <row r="35" spans="1:11" x14ac:dyDescent="0.3">
      <c r="A35">
        <v>4102002</v>
      </c>
      <c r="B35" t="s">
        <v>497</v>
      </c>
      <c r="C35">
        <v>2</v>
      </c>
      <c r="D35">
        <v>41730</v>
      </c>
      <c r="E35">
        <v>11200</v>
      </c>
      <c r="F35" t="s">
        <v>86</v>
      </c>
      <c r="G35" t="s">
        <v>223</v>
      </c>
      <c r="H35" t="s">
        <v>217</v>
      </c>
      <c r="I35" t="s">
        <v>357</v>
      </c>
      <c r="J35">
        <v>36.989319999999999</v>
      </c>
      <c r="K35">
        <v>-5.9348580000000002</v>
      </c>
    </row>
    <row r="36" spans="1:11" x14ac:dyDescent="0.3">
      <c r="A36">
        <v>4102101</v>
      </c>
      <c r="B36" t="s">
        <v>433</v>
      </c>
      <c r="C36">
        <v>1</v>
      </c>
      <c r="D36">
        <v>41900</v>
      </c>
      <c r="E36">
        <v>9813</v>
      </c>
      <c r="F36" t="s">
        <v>133</v>
      </c>
      <c r="G36" t="s">
        <v>182</v>
      </c>
      <c r="H36" t="s">
        <v>252</v>
      </c>
      <c r="I36" t="s">
        <v>98</v>
      </c>
      <c r="J36">
        <v>37.402329999999999</v>
      </c>
      <c r="K36">
        <v>-6.0327650000000004</v>
      </c>
    </row>
    <row r="37" spans="1:11" x14ac:dyDescent="0.3">
      <c r="A37">
        <v>4102102</v>
      </c>
      <c r="B37" t="s">
        <v>433</v>
      </c>
      <c r="C37">
        <v>2</v>
      </c>
      <c r="D37">
        <v>41900</v>
      </c>
      <c r="E37">
        <v>13249</v>
      </c>
      <c r="F37" t="s">
        <v>90</v>
      </c>
      <c r="G37" t="s">
        <v>244</v>
      </c>
      <c r="H37" t="s">
        <v>138</v>
      </c>
      <c r="I37" t="s">
        <v>98</v>
      </c>
      <c r="J37">
        <v>37.399748000000002</v>
      </c>
      <c r="K37">
        <v>-6.0341670000000001</v>
      </c>
    </row>
    <row r="38" spans="1:11" x14ac:dyDescent="0.3">
      <c r="A38">
        <v>4102103</v>
      </c>
      <c r="B38" t="s">
        <v>433</v>
      </c>
      <c r="C38">
        <v>3</v>
      </c>
      <c r="D38">
        <v>41900</v>
      </c>
      <c r="E38">
        <v>3287</v>
      </c>
      <c r="F38" t="s">
        <v>86</v>
      </c>
      <c r="G38" t="s">
        <v>141</v>
      </c>
      <c r="H38" t="s">
        <v>91</v>
      </c>
      <c r="I38" t="s">
        <v>98</v>
      </c>
      <c r="J38">
        <v>37.386907999999998</v>
      </c>
      <c r="K38">
        <v>-6.0307069999999996</v>
      </c>
    </row>
    <row r="39" spans="1:11" x14ac:dyDescent="0.3">
      <c r="A39">
        <v>4102104</v>
      </c>
      <c r="B39" t="s">
        <v>433</v>
      </c>
      <c r="C39">
        <v>4</v>
      </c>
      <c r="D39">
        <v>41900</v>
      </c>
      <c r="E39">
        <v>2283</v>
      </c>
      <c r="F39" t="s">
        <v>390</v>
      </c>
      <c r="G39" t="s">
        <v>177</v>
      </c>
      <c r="H39" t="s">
        <v>129</v>
      </c>
      <c r="I39" t="s">
        <v>161</v>
      </c>
      <c r="J39">
        <v>37.382748999999997</v>
      </c>
      <c r="K39">
        <v>-6.0373479999999997</v>
      </c>
    </row>
    <row r="40" spans="1:11" x14ac:dyDescent="0.3">
      <c r="A40">
        <v>4102201</v>
      </c>
      <c r="B40" t="s">
        <v>498</v>
      </c>
      <c r="C40">
        <v>1</v>
      </c>
      <c r="D40">
        <v>41429</v>
      </c>
      <c r="E40">
        <v>2206</v>
      </c>
      <c r="F40" t="s">
        <v>86</v>
      </c>
      <c r="G40" t="s">
        <v>220</v>
      </c>
      <c r="H40" t="s">
        <v>209</v>
      </c>
      <c r="I40" t="s">
        <v>98</v>
      </c>
      <c r="J40">
        <v>37.572667000000003</v>
      </c>
      <c r="K40">
        <v>-5.4303720000000002</v>
      </c>
    </row>
    <row r="41" spans="1:11" x14ac:dyDescent="0.3">
      <c r="A41">
        <v>4102202</v>
      </c>
      <c r="B41" t="s">
        <v>498</v>
      </c>
      <c r="C41">
        <v>2</v>
      </c>
      <c r="D41">
        <v>41429</v>
      </c>
      <c r="E41">
        <v>2891</v>
      </c>
      <c r="F41" t="s">
        <v>86</v>
      </c>
      <c r="G41" t="s">
        <v>120</v>
      </c>
      <c r="H41" t="s">
        <v>174</v>
      </c>
      <c r="I41" t="s">
        <v>357</v>
      </c>
      <c r="J41">
        <v>37.567486000000002</v>
      </c>
      <c r="K41">
        <v>-5.4265610000000004</v>
      </c>
    </row>
    <row r="42" spans="1:11" x14ac:dyDescent="0.3">
      <c r="A42">
        <v>4102301</v>
      </c>
      <c r="B42" t="s">
        <v>434</v>
      </c>
      <c r="C42">
        <v>1</v>
      </c>
      <c r="D42">
        <v>41320</v>
      </c>
      <c r="E42">
        <v>5253</v>
      </c>
      <c r="F42" t="s">
        <v>90</v>
      </c>
      <c r="G42" t="s">
        <v>223</v>
      </c>
      <c r="H42" t="s">
        <v>160</v>
      </c>
      <c r="I42" t="s">
        <v>235</v>
      </c>
      <c r="J42">
        <v>37.607061000000002</v>
      </c>
      <c r="K42">
        <v>-5.8278489999999996</v>
      </c>
    </row>
    <row r="43" spans="1:11" x14ac:dyDescent="0.3">
      <c r="A43">
        <v>4102302</v>
      </c>
      <c r="B43" t="s">
        <v>434</v>
      </c>
      <c r="C43">
        <v>2</v>
      </c>
      <c r="D43">
        <v>41320</v>
      </c>
      <c r="E43">
        <v>5333</v>
      </c>
      <c r="F43" t="s">
        <v>94</v>
      </c>
      <c r="G43" t="s">
        <v>223</v>
      </c>
      <c r="H43" t="s">
        <v>151</v>
      </c>
      <c r="I43" t="s">
        <v>161</v>
      </c>
      <c r="J43">
        <v>37.623345999999998</v>
      </c>
      <c r="K43">
        <v>-5.8173890000000004</v>
      </c>
    </row>
    <row r="44" spans="1:11" x14ac:dyDescent="0.3">
      <c r="A44">
        <v>4190101</v>
      </c>
      <c r="B44" t="s">
        <v>435</v>
      </c>
      <c r="C44">
        <v>1</v>
      </c>
      <c r="D44">
        <v>41439</v>
      </c>
      <c r="E44">
        <v>3418</v>
      </c>
      <c r="F44" t="s">
        <v>90</v>
      </c>
      <c r="G44" t="s">
        <v>108</v>
      </c>
      <c r="H44" t="s">
        <v>373</v>
      </c>
      <c r="I44" t="s">
        <v>161</v>
      </c>
      <c r="J44">
        <v>37.586784999999999</v>
      </c>
      <c r="K44">
        <v>-5.2360220000000002</v>
      </c>
    </row>
    <row r="45" spans="1:11" x14ac:dyDescent="0.3">
      <c r="A45">
        <v>4102401</v>
      </c>
      <c r="B45" t="s">
        <v>436</v>
      </c>
      <c r="C45">
        <v>1</v>
      </c>
      <c r="D45">
        <v>41410</v>
      </c>
      <c r="E45">
        <v>1585</v>
      </c>
      <c r="F45" t="s">
        <v>390</v>
      </c>
      <c r="G45" t="s">
        <v>229</v>
      </c>
      <c r="H45" t="s">
        <v>192</v>
      </c>
      <c r="I45" t="s">
        <v>161</v>
      </c>
      <c r="J45">
        <v>37.472250000000003</v>
      </c>
      <c r="K45">
        <v>-5.6391540000000004</v>
      </c>
    </row>
    <row r="46" spans="1:11" x14ac:dyDescent="0.3">
      <c r="A46">
        <v>4102402</v>
      </c>
      <c r="B46" t="s">
        <v>436</v>
      </c>
      <c r="C46">
        <v>2</v>
      </c>
      <c r="D46">
        <v>41410</v>
      </c>
      <c r="E46">
        <v>884</v>
      </c>
      <c r="F46" t="s">
        <v>110</v>
      </c>
      <c r="G46" t="s">
        <v>134</v>
      </c>
      <c r="H46" t="s">
        <v>385</v>
      </c>
      <c r="I46" t="s">
        <v>98</v>
      </c>
      <c r="J46">
        <v>37.473999999999997</v>
      </c>
      <c r="K46">
        <v>-5.6347860000000001</v>
      </c>
    </row>
    <row r="47" spans="1:11" x14ac:dyDescent="0.3">
      <c r="A47">
        <v>4102403</v>
      </c>
      <c r="B47" t="s">
        <v>436</v>
      </c>
      <c r="C47">
        <v>3</v>
      </c>
      <c r="D47">
        <v>41410</v>
      </c>
      <c r="E47">
        <v>1145</v>
      </c>
      <c r="F47" t="s">
        <v>99</v>
      </c>
      <c r="G47" t="s">
        <v>144</v>
      </c>
      <c r="H47" t="s">
        <v>395</v>
      </c>
      <c r="I47" t="s">
        <v>161</v>
      </c>
      <c r="J47">
        <v>37.474400000000003</v>
      </c>
      <c r="K47">
        <v>-5.6404629999999996</v>
      </c>
    </row>
    <row r="48" spans="1:11" x14ac:dyDescent="0.3">
      <c r="A48">
        <v>4102404</v>
      </c>
      <c r="B48" t="s">
        <v>436</v>
      </c>
      <c r="C48">
        <v>4</v>
      </c>
      <c r="D48">
        <v>41410</v>
      </c>
      <c r="E48">
        <v>9983</v>
      </c>
      <c r="F48" t="s">
        <v>133</v>
      </c>
      <c r="G48" t="s">
        <v>95</v>
      </c>
      <c r="H48" t="s">
        <v>150</v>
      </c>
      <c r="I48" t="s">
        <v>161</v>
      </c>
      <c r="J48">
        <v>37.476053</v>
      </c>
      <c r="K48">
        <v>-5.645022</v>
      </c>
    </row>
    <row r="49" spans="1:11" x14ac:dyDescent="0.3">
      <c r="A49">
        <v>4102405</v>
      </c>
      <c r="B49" t="s">
        <v>436</v>
      </c>
      <c r="C49">
        <v>5</v>
      </c>
      <c r="D49">
        <v>41410</v>
      </c>
      <c r="E49">
        <v>7985</v>
      </c>
      <c r="F49" t="s">
        <v>133</v>
      </c>
      <c r="G49" t="s">
        <v>109</v>
      </c>
      <c r="H49" t="s">
        <v>160</v>
      </c>
      <c r="I49" t="s">
        <v>357</v>
      </c>
      <c r="J49">
        <v>37.467872</v>
      </c>
      <c r="K49">
        <v>-5.649489</v>
      </c>
    </row>
    <row r="50" spans="1:11" x14ac:dyDescent="0.3">
      <c r="A50">
        <v>4102406</v>
      </c>
      <c r="B50" t="s">
        <v>436</v>
      </c>
      <c r="C50">
        <v>6</v>
      </c>
      <c r="D50">
        <v>41410</v>
      </c>
      <c r="E50">
        <v>8212</v>
      </c>
      <c r="F50" t="s">
        <v>90</v>
      </c>
      <c r="G50" t="s">
        <v>164</v>
      </c>
      <c r="H50" t="s">
        <v>245</v>
      </c>
      <c r="I50" t="s">
        <v>98</v>
      </c>
      <c r="J50">
        <v>37.586812999999999</v>
      </c>
      <c r="K50">
        <v>-5.6135250000000001</v>
      </c>
    </row>
    <row r="51" spans="1:11" x14ac:dyDescent="0.3">
      <c r="A51">
        <v>4102501</v>
      </c>
      <c r="B51" t="s">
        <v>437</v>
      </c>
      <c r="C51">
        <v>1</v>
      </c>
      <c r="D51">
        <v>41820</v>
      </c>
      <c r="E51">
        <v>1425</v>
      </c>
      <c r="F51" t="s">
        <v>90</v>
      </c>
      <c r="G51" t="s">
        <v>223</v>
      </c>
      <c r="H51" t="s">
        <v>113</v>
      </c>
      <c r="I51" t="s">
        <v>161</v>
      </c>
      <c r="J51">
        <v>37.369743</v>
      </c>
      <c r="K51">
        <v>-6.3220789999999996</v>
      </c>
    </row>
    <row r="52" spans="1:11" x14ac:dyDescent="0.3">
      <c r="A52">
        <v>4102502</v>
      </c>
      <c r="B52" t="s">
        <v>437</v>
      </c>
      <c r="C52">
        <v>2</v>
      </c>
      <c r="D52">
        <v>41820</v>
      </c>
      <c r="E52">
        <v>1188</v>
      </c>
      <c r="F52" t="s">
        <v>99</v>
      </c>
      <c r="G52" t="s">
        <v>187</v>
      </c>
      <c r="H52" t="s">
        <v>148</v>
      </c>
      <c r="I52" t="s">
        <v>98</v>
      </c>
      <c r="J52">
        <v>37.361961999999998</v>
      </c>
      <c r="K52">
        <v>-6.330355</v>
      </c>
    </row>
    <row r="53" spans="1:11" x14ac:dyDescent="0.3">
      <c r="A53">
        <v>4102601</v>
      </c>
      <c r="B53" t="s">
        <v>438</v>
      </c>
      <c r="C53">
        <v>1</v>
      </c>
      <c r="D53">
        <v>41544</v>
      </c>
      <c r="E53">
        <v>3144</v>
      </c>
      <c r="F53" t="s">
        <v>86</v>
      </c>
      <c r="G53" t="s">
        <v>168</v>
      </c>
      <c r="H53" t="s">
        <v>103</v>
      </c>
      <c r="I53" t="s">
        <v>161</v>
      </c>
      <c r="J53">
        <v>37.299737999999998</v>
      </c>
      <c r="K53">
        <v>-4.7526330000000003</v>
      </c>
    </row>
    <row r="54" spans="1:11" x14ac:dyDescent="0.3">
      <c r="A54">
        <v>4102602</v>
      </c>
      <c r="B54" t="s">
        <v>438</v>
      </c>
      <c r="C54">
        <v>2</v>
      </c>
      <c r="D54">
        <v>41544</v>
      </c>
      <c r="E54">
        <v>2159</v>
      </c>
      <c r="F54" t="s">
        <v>86</v>
      </c>
      <c r="G54" t="s">
        <v>149</v>
      </c>
      <c r="H54" t="s">
        <v>167</v>
      </c>
      <c r="I54" t="s">
        <v>98</v>
      </c>
      <c r="J54">
        <v>37.296487999999997</v>
      </c>
      <c r="K54">
        <v>-4.7629729999999997</v>
      </c>
    </row>
    <row r="55" spans="1:11" x14ac:dyDescent="0.3">
      <c r="A55">
        <v>4102701</v>
      </c>
      <c r="B55" t="s">
        <v>439</v>
      </c>
      <c r="C55">
        <v>1</v>
      </c>
      <c r="D55">
        <v>41230</v>
      </c>
      <c r="E55">
        <v>2197</v>
      </c>
      <c r="F55" t="s">
        <v>86</v>
      </c>
      <c r="G55" t="s">
        <v>95</v>
      </c>
      <c r="H55" t="s">
        <v>233</v>
      </c>
      <c r="I55" t="s">
        <v>89</v>
      </c>
      <c r="J55">
        <v>37.673915000000001</v>
      </c>
      <c r="K55">
        <v>-5.9859920000000004</v>
      </c>
    </row>
    <row r="56" spans="1:11" x14ac:dyDescent="0.3">
      <c r="A56">
        <v>4102702</v>
      </c>
      <c r="B56" t="s">
        <v>439</v>
      </c>
      <c r="C56">
        <v>2</v>
      </c>
      <c r="D56">
        <v>41230</v>
      </c>
      <c r="E56">
        <v>2923</v>
      </c>
      <c r="F56" t="s">
        <v>94</v>
      </c>
      <c r="G56" t="s">
        <v>179</v>
      </c>
      <c r="H56" t="s">
        <v>246</v>
      </c>
      <c r="I56" t="s">
        <v>102</v>
      </c>
      <c r="J56">
        <v>37.674089000000002</v>
      </c>
      <c r="K56">
        <v>-5.9917230000000004</v>
      </c>
    </row>
    <row r="57" spans="1:11" x14ac:dyDescent="0.3">
      <c r="A57">
        <v>4102801</v>
      </c>
      <c r="B57" t="s">
        <v>440</v>
      </c>
      <c r="C57">
        <v>1</v>
      </c>
      <c r="D57">
        <v>41908</v>
      </c>
      <c r="E57">
        <v>2862</v>
      </c>
      <c r="F57" t="s">
        <v>176</v>
      </c>
      <c r="G57" t="s">
        <v>120</v>
      </c>
      <c r="H57" t="s">
        <v>402</v>
      </c>
      <c r="I57" t="s">
        <v>358</v>
      </c>
      <c r="J57">
        <v>37.409554999999997</v>
      </c>
      <c r="K57">
        <v>-6.0513130000000004</v>
      </c>
    </row>
    <row r="58" spans="1:11" x14ac:dyDescent="0.3">
      <c r="A58">
        <v>4102901</v>
      </c>
      <c r="B58" t="s">
        <v>441</v>
      </c>
      <c r="C58">
        <v>1</v>
      </c>
      <c r="D58">
        <v>41950</v>
      </c>
      <c r="E58">
        <v>17067</v>
      </c>
      <c r="F58" t="s">
        <v>163</v>
      </c>
      <c r="G58" t="s">
        <v>373</v>
      </c>
      <c r="H58" t="s">
        <v>120</v>
      </c>
      <c r="I58" t="s">
        <v>235</v>
      </c>
      <c r="J58">
        <v>37.389220000000002</v>
      </c>
      <c r="K58">
        <v>-6.0521609999999999</v>
      </c>
    </row>
    <row r="59" spans="1:11" x14ac:dyDescent="0.3">
      <c r="A59">
        <v>4103001</v>
      </c>
      <c r="B59" t="s">
        <v>442</v>
      </c>
      <c r="C59">
        <v>1</v>
      </c>
      <c r="D59">
        <v>41810</v>
      </c>
      <c r="E59">
        <v>607</v>
      </c>
      <c r="F59" t="s">
        <v>133</v>
      </c>
      <c r="G59" t="s">
        <v>144</v>
      </c>
      <c r="H59" t="s">
        <v>205</v>
      </c>
      <c r="I59" t="s">
        <v>98</v>
      </c>
      <c r="J59">
        <v>37.392215999999998</v>
      </c>
      <c r="K59">
        <v>-6.3377119999999998</v>
      </c>
    </row>
    <row r="60" spans="1:11" x14ac:dyDescent="0.3">
      <c r="A60">
        <v>4103101</v>
      </c>
      <c r="B60" t="s">
        <v>499</v>
      </c>
      <c r="C60">
        <v>1</v>
      </c>
      <c r="D60">
        <v>41890</v>
      </c>
      <c r="E60">
        <v>1501</v>
      </c>
      <c r="F60" t="s">
        <v>190</v>
      </c>
      <c r="G60" t="s">
        <v>225</v>
      </c>
      <c r="H60" t="s">
        <v>132</v>
      </c>
      <c r="I60" t="s">
        <v>107</v>
      </c>
      <c r="J60">
        <v>37.693562999999997</v>
      </c>
      <c r="K60">
        <v>-6.3172689999999996</v>
      </c>
    </row>
    <row r="61" spans="1:11" x14ac:dyDescent="0.3">
      <c r="A61">
        <v>4103201</v>
      </c>
      <c r="B61" t="s">
        <v>443</v>
      </c>
      <c r="C61">
        <v>1</v>
      </c>
      <c r="D61">
        <v>41370</v>
      </c>
      <c r="E61">
        <v>1876</v>
      </c>
      <c r="F61" t="s">
        <v>86</v>
      </c>
      <c r="G61" t="s">
        <v>136</v>
      </c>
      <c r="H61" t="s">
        <v>185</v>
      </c>
      <c r="I61" t="s">
        <v>93</v>
      </c>
      <c r="J61">
        <v>37.927843000000003</v>
      </c>
      <c r="K61">
        <v>-5.7609490000000001</v>
      </c>
    </row>
    <row r="62" spans="1:11" x14ac:dyDescent="0.3">
      <c r="A62">
        <v>4103202</v>
      </c>
      <c r="B62" t="s">
        <v>443</v>
      </c>
      <c r="C62">
        <v>2</v>
      </c>
      <c r="D62">
        <v>41370</v>
      </c>
      <c r="E62">
        <v>2770</v>
      </c>
      <c r="F62" t="s">
        <v>86</v>
      </c>
      <c r="G62" t="s">
        <v>111</v>
      </c>
      <c r="H62" t="s">
        <v>233</v>
      </c>
      <c r="I62" t="s">
        <v>98</v>
      </c>
      <c r="J62">
        <v>37.933740999999998</v>
      </c>
      <c r="K62">
        <v>-5.7607220000000003</v>
      </c>
    </row>
    <row r="63" spans="1:11" x14ac:dyDescent="0.3">
      <c r="A63">
        <v>4103301</v>
      </c>
      <c r="B63" t="s">
        <v>444</v>
      </c>
      <c r="C63">
        <v>1</v>
      </c>
      <c r="D63">
        <v>41450</v>
      </c>
      <c r="E63">
        <v>2431</v>
      </c>
      <c r="F63" t="s">
        <v>86</v>
      </c>
      <c r="G63" t="s">
        <v>134</v>
      </c>
      <c r="H63" t="s">
        <v>96</v>
      </c>
      <c r="I63" t="s">
        <v>98</v>
      </c>
      <c r="J63">
        <v>37.866253999999998</v>
      </c>
      <c r="K63">
        <v>-5.6191190000000004</v>
      </c>
    </row>
    <row r="64" spans="1:11" x14ac:dyDescent="0.3">
      <c r="A64">
        <v>4103302</v>
      </c>
      <c r="B64" t="s">
        <v>444</v>
      </c>
      <c r="C64">
        <v>2</v>
      </c>
      <c r="D64">
        <v>41450</v>
      </c>
      <c r="E64">
        <v>1270</v>
      </c>
      <c r="F64" t="s">
        <v>94</v>
      </c>
      <c r="G64" t="s">
        <v>229</v>
      </c>
      <c r="H64" t="s">
        <v>154</v>
      </c>
      <c r="I64" t="s">
        <v>93</v>
      </c>
      <c r="J64">
        <v>37.874085999999998</v>
      </c>
      <c r="K64">
        <v>-5.6186809999999996</v>
      </c>
    </row>
    <row r="65" spans="1:11" x14ac:dyDescent="0.3">
      <c r="A65">
        <v>4103303</v>
      </c>
      <c r="B65" t="s">
        <v>444</v>
      </c>
      <c r="C65">
        <v>3</v>
      </c>
      <c r="D65">
        <v>41450</v>
      </c>
      <c r="E65">
        <v>999</v>
      </c>
      <c r="F65" t="s">
        <v>115</v>
      </c>
      <c r="G65" t="s">
        <v>227</v>
      </c>
      <c r="H65" t="s">
        <v>124</v>
      </c>
      <c r="I65" t="s">
        <v>89</v>
      </c>
      <c r="J65">
        <v>37.844208999999999</v>
      </c>
      <c r="K65">
        <v>-5.6415930000000003</v>
      </c>
    </row>
    <row r="66" spans="1:11" x14ac:dyDescent="0.3">
      <c r="A66">
        <v>4103304</v>
      </c>
      <c r="B66" t="s">
        <v>444</v>
      </c>
      <c r="C66">
        <v>4</v>
      </c>
      <c r="D66">
        <v>41450</v>
      </c>
      <c r="E66">
        <v>1005</v>
      </c>
      <c r="F66" t="s">
        <v>115</v>
      </c>
      <c r="G66" t="s">
        <v>153</v>
      </c>
      <c r="H66" t="s">
        <v>370</v>
      </c>
      <c r="I66" t="s">
        <v>102</v>
      </c>
      <c r="J66">
        <v>37.851652000000001</v>
      </c>
      <c r="K66">
        <v>-5.5949540000000004</v>
      </c>
    </row>
    <row r="67" spans="1:11" x14ac:dyDescent="0.3">
      <c r="A67">
        <v>4103401</v>
      </c>
      <c r="B67" t="s">
        <v>445</v>
      </c>
      <c r="C67">
        <v>1</v>
      </c>
      <c r="D67">
        <v>41100</v>
      </c>
      <c r="E67">
        <v>18154</v>
      </c>
      <c r="F67" t="s">
        <v>86</v>
      </c>
      <c r="G67" t="s">
        <v>146</v>
      </c>
      <c r="H67" t="s">
        <v>147</v>
      </c>
      <c r="I67" t="s">
        <v>235</v>
      </c>
      <c r="J67">
        <v>37.287025999999997</v>
      </c>
      <c r="K67">
        <v>-6.0531040000000003</v>
      </c>
    </row>
    <row r="68" spans="1:11" x14ac:dyDescent="0.3">
      <c r="A68">
        <v>4103402</v>
      </c>
      <c r="B68" t="s">
        <v>445</v>
      </c>
      <c r="C68">
        <v>2</v>
      </c>
      <c r="D68">
        <v>41100</v>
      </c>
      <c r="E68">
        <v>3853</v>
      </c>
      <c r="F68" t="s">
        <v>133</v>
      </c>
      <c r="G68" t="s">
        <v>103</v>
      </c>
      <c r="H68" t="s">
        <v>96</v>
      </c>
      <c r="I68" t="s">
        <v>161</v>
      </c>
      <c r="J68">
        <v>37.27711</v>
      </c>
      <c r="K68">
        <v>-6.0548169999999999</v>
      </c>
    </row>
    <row r="69" spans="1:11" x14ac:dyDescent="0.3">
      <c r="A69">
        <v>4103403</v>
      </c>
      <c r="B69" t="s">
        <v>445</v>
      </c>
      <c r="C69">
        <v>3</v>
      </c>
      <c r="D69">
        <v>41100</v>
      </c>
      <c r="E69">
        <v>9029</v>
      </c>
      <c r="F69" t="s">
        <v>90</v>
      </c>
      <c r="G69" t="s">
        <v>139</v>
      </c>
      <c r="H69" t="s">
        <v>157</v>
      </c>
      <c r="I69" t="s">
        <v>357</v>
      </c>
      <c r="J69">
        <v>37.283959000000003</v>
      </c>
      <c r="K69">
        <v>-6.0538420000000004</v>
      </c>
    </row>
    <row r="70" spans="1:11" x14ac:dyDescent="0.3">
      <c r="A70">
        <v>4103501</v>
      </c>
      <c r="B70" t="s">
        <v>446</v>
      </c>
      <c r="C70">
        <v>1</v>
      </c>
      <c r="D70">
        <v>41760</v>
      </c>
      <c r="E70">
        <v>1198</v>
      </c>
      <c r="F70" t="s">
        <v>86</v>
      </c>
      <c r="G70" t="s">
        <v>220</v>
      </c>
      <c r="H70" t="s">
        <v>132</v>
      </c>
      <c r="I70" t="s">
        <v>102</v>
      </c>
      <c r="J70">
        <v>36.987177000000003</v>
      </c>
      <c r="K70">
        <v>-5.4055549999999997</v>
      </c>
    </row>
    <row r="71" spans="1:11" x14ac:dyDescent="0.3">
      <c r="A71">
        <v>4103601</v>
      </c>
      <c r="B71" t="s">
        <v>500</v>
      </c>
      <c r="C71">
        <v>1</v>
      </c>
      <c r="D71">
        <v>41760</v>
      </c>
      <c r="E71">
        <v>1813</v>
      </c>
      <c r="F71" t="s">
        <v>133</v>
      </c>
      <c r="G71" t="s">
        <v>252</v>
      </c>
      <c r="H71" t="s">
        <v>199</v>
      </c>
      <c r="I71" t="s">
        <v>98</v>
      </c>
      <c r="J71">
        <v>37.080508000000002</v>
      </c>
      <c r="K71">
        <v>-5.6310830000000003</v>
      </c>
    </row>
    <row r="72" spans="1:11" x14ac:dyDescent="0.3">
      <c r="A72">
        <v>4103602</v>
      </c>
      <c r="B72" t="s">
        <v>500</v>
      </c>
      <c r="C72">
        <v>2</v>
      </c>
      <c r="D72">
        <v>41760</v>
      </c>
      <c r="E72">
        <v>2867</v>
      </c>
      <c r="F72" t="s">
        <v>94</v>
      </c>
      <c r="G72" t="s">
        <v>91</v>
      </c>
      <c r="H72" t="s">
        <v>370</v>
      </c>
      <c r="I72" t="s">
        <v>98</v>
      </c>
      <c r="J72">
        <v>37.078840999999997</v>
      </c>
      <c r="K72">
        <v>-5.6352469999999997</v>
      </c>
    </row>
    <row r="73" spans="1:11" x14ac:dyDescent="0.3">
      <c r="A73">
        <v>4103701</v>
      </c>
      <c r="B73" t="s">
        <v>501</v>
      </c>
      <c r="C73">
        <v>1</v>
      </c>
      <c r="D73">
        <v>41657</v>
      </c>
      <c r="E73">
        <v>1805</v>
      </c>
      <c r="F73" t="s">
        <v>90</v>
      </c>
      <c r="G73" t="s">
        <v>160</v>
      </c>
      <c r="H73" t="s">
        <v>145</v>
      </c>
      <c r="I73" t="s">
        <v>98</v>
      </c>
      <c r="J73">
        <v>37.099314999999997</v>
      </c>
      <c r="K73">
        <v>-4.980334</v>
      </c>
    </row>
    <row r="74" spans="1:11" x14ac:dyDescent="0.3">
      <c r="A74">
        <v>4103702</v>
      </c>
      <c r="B74" t="s">
        <v>501</v>
      </c>
      <c r="C74">
        <v>2</v>
      </c>
      <c r="D74">
        <v>41657</v>
      </c>
      <c r="E74">
        <v>2163</v>
      </c>
      <c r="F74" t="s">
        <v>86</v>
      </c>
      <c r="G74" t="s">
        <v>140</v>
      </c>
      <c r="H74" t="s">
        <v>164</v>
      </c>
      <c r="I74" t="s">
        <v>98</v>
      </c>
      <c r="J74">
        <v>37.110045</v>
      </c>
      <c r="K74">
        <v>-5.0148529999999996</v>
      </c>
    </row>
    <row r="75" spans="1:11" x14ac:dyDescent="0.3">
      <c r="A75">
        <v>4190301</v>
      </c>
      <c r="B75" t="s">
        <v>519</v>
      </c>
      <c r="C75">
        <v>1</v>
      </c>
      <c r="D75">
        <v>41749</v>
      </c>
      <c r="E75">
        <v>8658</v>
      </c>
      <c r="F75" t="s">
        <v>94</v>
      </c>
      <c r="G75" t="s">
        <v>141</v>
      </c>
      <c r="H75" t="s">
        <v>177</v>
      </c>
      <c r="I75" t="s">
        <v>161</v>
      </c>
      <c r="J75">
        <v>36.850746000000001</v>
      </c>
      <c r="K75">
        <v>-6.0380079999999996</v>
      </c>
    </row>
    <row r="76" spans="1:11" x14ac:dyDescent="0.3">
      <c r="A76">
        <v>4103801</v>
      </c>
      <c r="B76" t="s">
        <v>447</v>
      </c>
      <c r="C76">
        <v>1</v>
      </c>
      <c r="D76">
        <v>41701</v>
      </c>
      <c r="E76">
        <v>11828</v>
      </c>
      <c r="F76" t="s">
        <v>86</v>
      </c>
      <c r="G76" t="s">
        <v>355</v>
      </c>
      <c r="H76" t="s">
        <v>116</v>
      </c>
      <c r="I76" t="s">
        <v>357</v>
      </c>
      <c r="J76">
        <v>37.28201</v>
      </c>
      <c r="K76">
        <v>-5.9177790000000003</v>
      </c>
    </row>
    <row r="77" spans="1:11" x14ac:dyDescent="0.3">
      <c r="A77">
        <v>4103802</v>
      </c>
      <c r="B77" t="s">
        <v>447</v>
      </c>
      <c r="C77">
        <v>2</v>
      </c>
      <c r="D77">
        <v>41702</v>
      </c>
      <c r="E77">
        <v>18491</v>
      </c>
      <c r="F77" t="s">
        <v>133</v>
      </c>
      <c r="G77" t="s">
        <v>116</v>
      </c>
      <c r="H77" t="s">
        <v>145</v>
      </c>
      <c r="I77" t="s">
        <v>161</v>
      </c>
      <c r="J77">
        <v>37.284973000000001</v>
      </c>
      <c r="K77">
        <v>-5.9228750000000003</v>
      </c>
    </row>
    <row r="78" spans="1:11" x14ac:dyDescent="0.3">
      <c r="A78">
        <v>4103803</v>
      </c>
      <c r="B78" t="s">
        <v>447</v>
      </c>
      <c r="C78">
        <v>3</v>
      </c>
      <c r="D78">
        <v>41703</v>
      </c>
      <c r="E78">
        <v>22230</v>
      </c>
      <c r="F78" t="s">
        <v>163</v>
      </c>
      <c r="G78" t="s">
        <v>160</v>
      </c>
      <c r="H78" t="s">
        <v>159</v>
      </c>
      <c r="I78" t="s">
        <v>235</v>
      </c>
      <c r="J78">
        <v>37.268726000000001</v>
      </c>
      <c r="K78">
        <v>-5.9235490000000004</v>
      </c>
    </row>
    <row r="79" spans="1:11" x14ac:dyDescent="0.3">
      <c r="A79">
        <v>4103804</v>
      </c>
      <c r="B79" t="s">
        <v>447</v>
      </c>
      <c r="C79">
        <v>4</v>
      </c>
      <c r="D79">
        <v>41089</v>
      </c>
      <c r="E79">
        <v>38446</v>
      </c>
      <c r="F79" t="s">
        <v>110</v>
      </c>
      <c r="G79" t="s">
        <v>193</v>
      </c>
      <c r="H79" t="s">
        <v>368</v>
      </c>
      <c r="I79" t="s">
        <v>357</v>
      </c>
      <c r="J79">
        <v>37.287126000000001</v>
      </c>
      <c r="K79">
        <v>-5.9277319999999998</v>
      </c>
    </row>
    <row r="80" spans="1:11" x14ac:dyDescent="0.3">
      <c r="A80">
        <v>4103805</v>
      </c>
      <c r="B80" t="s">
        <v>447</v>
      </c>
      <c r="C80">
        <v>5</v>
      </c>
      <c r="D80">
        <v>41704</v>
      </c>
      <c r="E80">
        <v>48660</v>
      </c>
      <c r="F80" t="s">
        <v>173</v>
      </c>
      <c r="G80" t="s">
        <v>355</v>
      </c>
      <c r="H80" t="s">
        <v>356</v>
      </c>
      <c r="I80" t="s">
        <v>376</v>
      </c>
      <c r="J80">
        <v>37.344309000000003</v>
      </c>
      <c r="K80">
        <v>-5.936896</v>
      </c>
    </row>
    <row r="81" spans="1:11" x14ac:dyDescent="0.3">
      <c r="A81">
        <v>4103901</v>
      </c>
      <c r="B81" t="s">
        <v>448</v>
      </c>
      <c r="C81">
        <v>1</v>
      </c>
      <c r="D81">
        <v>41400</v>
      </c>
      <c r="E81">
        <v>13621</v>
      </c>
      <c r="F81" t="s">
        <v>94</v>
      </c>
      <c r="G81" t="s">
        <v>162</v>
      </c>
      <c r="H81" t="s">
        <v>198</v>
      </c>
      <c r="I81" t="s">
        <v>235</v>
      </c>
      <c r="J81">
        <v>37.543443000000003</v>
      </c>
      <c r="K81">
        <v>-5.0816939999999997</v>
      </c>
    </row>
    <row r="82" spans="1:11" x14ac:dyDescent="0.3">
      <c r="A82">
        <v>4103902</v>
      </c>
      <c r="B82" t="s">
        <v>448</v>
      </c>
      <c r="C82">
        <v>2</v>
      </c>
      <c r="D82">
        <v>41400</v>
      </c>
      <c r="E82">
        <v>5624</v>
      </c>
      <c r="F82" t="s">
        <v>133</v>
      </c>
      <c r="G82" t="s">
        <v>109</v>
      </c>
      <c r="H82" t="s">
        <v>255</v>
      </c>
      <c r="I82" t="s">
        <v>161</v>
      </c>
      <c r="J82">
        <v>37.550007000000001</v>
      </c>
      <c r="K82">
        <v>-5.0848870000000002</v>
      </c>
    </row>
    <row r="83" spans="1:11" x14ac:dyDescent="0.3">
      <c r="A83">
        <v>4103903</v>
      </c>
      <c r="B83" t="s">
        <v>448</v>
      </c>
      <c r="C83">
        <v>3</v>
      </c>
      <c r="D83">
        <v>41400</v>
      </c>
      <c r="E83">
        <v>9707</v>
      </c>
      <c r="F83" t="s">
        <v>86</v>
      </c>
      <c r="G83" t="s">
        <v>118</v>
      </c>
      <c r="H83" t="s">
        <v>113</v>
      </c>
      <c r="I83" t="s">
        <v>161</v>
      </c>
      <c r="J83">
        <v>37.537191999999997</v>
      </c>
      <c r="K83">
        <v>-5.0870850000000001</v>
      </c>
    </row>
    <row r="84" spans="1:11" x14ac:dyDescent="0.3">
      <c r="A84">
        <v>4103904</v>
      </c>
      <c r="B84" t="s">
        <v>448</v>
      </c>
      <c r="C84">
        <v>4</v>
      </c>
      <c r="D84">
        <v>41400</v>
      </c>
      <c r="E84">
        <v>7032</v>
      </c>
      <c r="F84" t="s">
        <v>163</v>
      </c>
      <c r="G84" t="s">
        <v>177</v>
      </c>
      <c r="H84" t="s">
        <v>218</v>
      </c>
      <c r="I84" t="s">
        <v>98</v>
      </c>
      <c r="J84">
        <v>37.537413999999998</v>
      </c>
      <c r="K84">
        <v>-5.0782759999999998</v>
      </c>
    </row>
    <row r="85" spans="1:11" x14ac:dyDescent="0.3">
      <c r="A85">
        <v>4103905</v>
      </c>
      <c r="B85" t="s">
        <v>448</v>
      </c>
      <c r="C85">
        <v>5</v>
      </c>
      <c r="D85">
        <v>41400</v>
      </c>
      <c r="E85">
        <v>3449</v>
      </c>
      <c r="F85" t="s">
        <v>90</v>
      </c>
      <c r="G85" t="s">
        <v>238</v>
      </c>
      <c r="H85" t="s">
        <v>120</v>
      </c>
      <c r="I85" t="s">
        <v>98</v>
      </c>
      <c r="J85">
        <v>37.543050999999998</v>
      </c>
      <c r="K85">
        <v>-5.0779699999999997</v>
      </c>
    </row>
    <row r="86" spans="1:11" x14ac:dyDescent="0.3">
      <c r="A86">
        <v>4104001</v>
      </c>
      <c r="B86" t="s">
        <v>449</v>
      </c>
      <c r="C86">
        <v>1</v>
      </c>
      <c r="D86">
        <v>41807</v>
      </c>
      <c r="E86">
        <v>16420</v>
      </c>
      <c r="F86" t="s">
        <v>403</v>
      </c>
      <c r="G86" t="s">
        <v>374</v>
      </c>
      <c r="H86" t="s">
        <v>404</v>
      </c>
      <c r="I86" t="s">
        <v>358</v>
      </c>
      <c r="J86">
        <v>37.379685000000002</v>
      </c>
      <c r="K86">
        <v>-6.1275529999999998</v>
      </c>
    </row>
    <row r="87" spans="1:11" x14ac:dyDescent="0.3">
      <c r="A87">
        <v>4104101</v>
      </c>
      <c r="B87" t="s">
        <v>450</v>
      </c>
      <c r="C87">
        <v>1</v>
      </c>
      <c r="D87">
        <v>41560</v>
      </c>
      <c r="E87">
        <v>3706</v>
      </c>
      <c r="F87" t="s">
        <v>133</v>
      </c>
      <c r="G87" t="s">
        <v>244</v>
      </c>
      <c r="H87" t="s">
        <v>97</v>
      </c>
      <c r="I87" t="s">
        <v>98</v>
      </c>
      <c r="J87">
        <v>37.290866000000001</v>
      </c>
      <c r="K87">
        <v>-4.8889779999999998</v>
      </c>
    </row>
    <row r="88" spans="1:11" x14ac:dyDescent="0.3">
      <c r="A88">
        <v>4104102</v>
      </c>
      <c r="B88" t="s">
        <v>450</v>
      </c>
      <c r="C88">
        <v>2</v>
      </c>
      <c r="D88">
        <v>41560</v>
      </c>
      <c r="E88">
        <v>2516</v>
      </c>
      <c r="F88" t="s">
        <v>99</v>
      </c>
      <c r="G88" t="s">
        <v>198</v>
      </c>
      <c r="H88" t="s">
        <v>205</v>
      </c>
      <c r="I88" t="s">
        <v>98</v>
      </c>
      <c r="J88">
        <v>37.291083</v>
      </c>
      <c r="K88">
        <v>-4.878838</v>
      </c>
    </row>
    <row r="89" spans="1:11" x14ac:dyDescent="0.3">
      <c r="A89">
        <v>4104103</v>
      </c>
      <c r="B89" t="s">
        <v>450</v>
      </c>
      <c r="C89">
        <v>3</v>
      </c>
      <c r="D89">
        <v>41560</v>
      </c>
      <c r="E89">
        <v>2372</v>
      </c>
      <c r="F89" t="s">
        <v>90</v>
      </c>
      <c r="G89" t="s">
        <v>201</v>
      </c>
      <c r="H89" t="s">
        <v>103</v>
      </c>
      <c r="I89" t="s">
        <v>89</v>
      </c>
      <c r="J89">
        <v>37.288772999999999</v>
      </c>
      <c r="K89">
        <v>-4.8752519999999997</v>
      </c>
    </row>
    <row r="90" spans="1:11" x14ac:dyDescent="0.3">
      <c r="A90">
        <v>4104104</v>
      </c>
      <c r="B90" t="s">
        <v>450</v>
      </c>
      <c r="C90">
        <v>4</v>
      </c>
      <c r="D90">
        <v>41560</v>
      </c>
      <c r="E90">
        <v>3786</v>
      </c>
      <c r="F90" t="s">
        <v>90</v>
      </c>
      <c r="G90" t="s">
        <v>104</v>
      </c>
      <c r="H90" t="s">
        <v>249</v>
      </c>
      <c r="I90" t="s">
        <v>357</v>
      </c>
      <c r="J90">
        <v>37.297145</v>
      </c>
      <c r="K90">
        <v>-4.8835940000000004</v>
      </c>
    </row>
    <row r="91" spans="1:11" x14ac:dyDescent="0.3">
      <c r="A91">
        <v>4104201</v>
      </c>
      <c r="B91" t="s">
        <v>451</v>
      </c>
      <c r="C91">
        <v>1</v>
      </c>
      <c r="D91">
        <v>41420</v>
      </c>
      <c r="E91">
        <v>1096</v>
      </c>
      <c r="F91" t="s">
        <v>133</v>
      </c>
      <c r="G91" t="s">
        <v>142</v>
      </c>
      <c r="H91" t="s">
        <v>405</v>
      </c>
      <c r="I91" t="s">
        <v>93</v>
      </c>
      <c r="J91">
        <v>37.464106000000001</v>
      </c>
      <c r="K91">
        <v>-5.348649</v>
      </c>
    </row>
    <row r="92" spans="1:11" x14ac:dyDescent="0.3">
      <c r="A92">
        <v>4104202</v>
      </c>
      <c r="B92" t="s">
        <v>451</v>
      </c>
      <c r="C92">
        <v>2</v>
      </c>
      <c r="D92">
        <v>41420</v>
      </c>
      <c r="E92">
        <v>2147</v>
      </c>
      <c r="F92" t="s">
        <v>90</v>
      </c>
      <c r="G92" t="s">
        <v>153</v>
      </c>
      <c r="H92" t="s">
        <v>399</v>
      </c>
      <c r="I92" t="s">
        <v>89</v>
      </c>
      <c r="J92">
        <v>37.466979000000002</v>
      </c>
      <c r="K92">
        <v>-5.346139</v>
      </c>
    </row>
    <row r="93" spans="1:11" x14ac:dyDescent="0.3">
      <c r="A93">
        <v>4104203</v>
      </c>
      <c r="B93" t="s">
        <v>451</v>
      </c>
      <c r="C93">
        <v>3</v>
      </c>
      <c r="D93">
        <v>41420</v>
      </c>
      <c r="E93">
        <v>3975</v>
      </c>
      <c r="F93" t="s">
        <v>90</v>
      </c>
      <c r="G93" t="s">
        <v>116</v>
      </c>
      <c r="H93" t="s">
        <v>147</v>
      </c>
      <c r="I93" t="s">
        <v>161</v>
      </c>
      <c r="J93">
        <v>37.448582000000002</v>
      </c>
      <c r="K93">
        <v>-5.3540679999999998</v>
      </c>
    </row>
    <row r="94" spans="1:11" x14ac:dyDescent="0.3">
      <c r="A94">
        <v>4104301</v>
      </c>
      <c r="B94" t="s">
        <v>452</v>
      </c>
      <c r="C94">
        <v>1</v>
      </c>
      <c r="D94">
        <v>41889</v>
      </c>
      <c r="E94">
        <v>809</v>
      </c>
      <c r="F94" t="s">
        <v>86</v>
      </c>
      <c r="G94" t="s">
        <v>100</v>
      </c>
      <c r="H94" t="s">
        <v>244</v>
      </c>
      <c r="I94" t="s">
        <v>93</v>
      </c>
      <c r="J94">
        <v>37.631157999999999</v>
      </c>
      <c r="K94">
        <v>-6.1792210000000001</v>
      </c>
    </row>
    <row r="95" spans="1:11" x14ac:dyDescent="0.3">
      <c r="A95">
        <v>4104401</v>
      </c>
      <c r="B95" t="s">
        <v>453</v>
      </c>
      <c r="C95">
        <v>1</v>
      </c>
      <c r="D95">
        <v>41120</v>
      </c>
      <c r="E95">
        <v>10480</v>
      </c>
      <c r="F95" t="s">
        <v>390</v>
      </c>
      <c r="G95" t="s">
        <v>168</v>
      </c>
      <c r="H95" t="s">
        <v>387</v>
      </c>
      <c r="I95" t="s">
        <v>235</v>
      </c>
      <c r="J95">
        <v>37.335278000000002</v>
      </c>
      <c r="K95">
        <v>-6.0992819999999996</v>
      </c>
    </row>
    <row r="96" spans="1:11" x14ac:dyDescent="0.3">
      <c r="A96">
        <v>4104501</v>
      </c>
      <c r="B96" t="s">
        <v>454</v>
      </c>
      <c r="C96">
        <v>1</v>
      </c>
      <c r="D96">
        <v>41860</v>
      </c>
      <c r="E96">
        <v>2686</v>
      </c>
      <c r="F96" t="s">
        <v>133</v>
      </c>
      <c r="G96" t="s">
        <v>198</v>
      </c>
      <c r="H96" t="s">
        <v>370</v>
      </c>
      <c r="I96" t="s">
        <v>98</v>
      </c>
      <c r="J96">
        <v>37.521419999999999</v>
      </c>
      <c r="K96">
        <v>-6.1193770000000001</v>
      </c>
    </row>
    <row r="97" spans="1:11" x14ac:dyDescent="0.3">
      <c r="A97">
        <v>4104502</v>
      </c>
      <c r="B97" t="s">
        <v>454</v>
      </c>
      <c r="C97">
        <v>2</v>
      </c>
      <c r="D97">
        <v>41860</v>
      </c>
      <c r="E97">
        <v>5200</v>
      </c>
      <c r="F97" t="s">
        <v>99</v>
      </c>
      <c r="G97" t="s">
        <v>152</v>
      </c>
      <c r="H97" t="s">
        <v>229</v>
      </c>
      <c r="I97" t="s">
        <v>235</v>
      </c>
      <c r="J97">
        <v>37.506895999999998</v>
      </c>
      <c r="K97">
        <v>-6.1617249999999997</v>
      </c>
    </row>
    <row r="98" spans="1:11" x14ac:dyDescent="0.3">
      <c r="A98">
        <v>4104601</v>
      </c>
      <c r="B98" t="s">
        <v>455</v>
      </c>
      <c r="C98">
        <v>1</v>
      </c>
      <c r="D98">
        <v>41565</v>
      </c>
      <c r="E98">
        <v>1503</v>
      </c>
      <c r="F98" t="s">
        <v>133</v>
      </c>
      <c r="G98" t="s">
        <v>128</v>
      </c>
      <c r="H98" t="s">
        <v>401</v>
      </c>
      <c r="I98" t="s">
        <v>89</v>
      </c>
      <c r="J98">
        <v>37.251365999999997</v>
      </c>
      <c r="K98">
        <v>-4.9154660000000003</v>
      </c>
    </row>
    <row r="99" spans="1:11" x14ac:dyDescent="0.3">
      <c r="A99">
        <v>4104602</v>
      </c>
      <c r="B99" t="s">
        <v>455</v>
      </c>
      <c r="C99">
        <v>2</v>
      </c>
      <c r="D99">
        <v>41565</v>
      </c>
      <c r="E99">
        <v>2154</v>
      </c>
      <c r="F99" t="s">
        <v>133</v>
      </c>
      <c r="G99" t="s">
        <v>182</v>
      </c>
      <c r="H99" t="s">
        <v>217</v>
      </c>
      <c r="I99" t="s">
        <v>161</v>
      </c>
      <c r="J99">
        <v>37.231752</v>
      </c>
      <c r="K99">
        <v>-4.9349410000000002</v>
      </c>
    </row>
    <row r="100" spans="1:11" x14ac:dyDescent="0.3">
      <c r="A100">
        <v>4104701</v>
      </c>
      <c r="B100" t="s">
        <v>456</v>
      </c>
      <c r="C100">
        <v>1</v>
      </c>
      <c r="D100">
        <v>41960</v>
      </c>
      <c r="E100">
        <v>13465</v>
      </c>
      <c r="F100" t="s">
        <v>173</v>
      </c>
      <c r="G100" t="s">
        <v>118</v>
      </c>
      <c r="H100" t="s">
        <v>166</v>
      </c>
      <c r="I100" t="s">
        <v>376</v>
      </c>
      <c r="J100">
        <v>37.385706999999996</v>
      </c>
      <c r="K100">
        <v>-6.077521</v>
      </c>
    </row>
    <row r="101" spans="1:11" x14ac:dyDescent="0.3">
      <c r="A101">
        <v>4104801</v>
      </c>
      <c r="B101" t="s">
        <v>457</v>
      </c>
      <c r="C101">
        <v>1</v>
      </c>
      <c r="D101">
        <v>41390</v>
      </c>
      <c r="E101">
        <v>916</v>
      </c>
      <c r="F101" t="s">
        <v>86</v>
      </c>
      <c r="G101" t="s">
        <v>184</v>
      </c>
      <c r="H101" t="s">
        <v>129</v>
      </c>
      <c r="I101" t="s">
        <v>93</v>
      </c>
      <c r="J101">
        <v>38.093992999999998</v>
      </c>
      <c r="K101">
        <v>-5.820716</v>
      </c>
    </row>
    <row r="102" spans="1:11" x14ac:dyDescent="0.3">
      <c r="A102">
        <v>4104802</v>
      </c>
      <c r="B102" t="s">
        <v>457</v>
      </c>
      <c r="C102">
        <v>2</v>
      </c>
      <c r="D102">
        <v>41390</v>
      </c>
      <c r="E102">
        <v>655</v>
      </c>
      <c r="F102" t="s">
        <v>94</v>
      </c>
      <c r="G102" t="s">
        <v>254</v>
      </c>
      <c r="H102" t="s">
        <v>126</v>
      </c>
      <c r="I102" t="s">
        <v>93</v>
      </c>
      <c r="J102">
        <v>38.093755000000002</v>
      </c>
      <c r="K102">
        <v>-5.8172949999999997</v>
      </c>
    </row>
    <row r="103" spans="1:11" x14ac:dyDescent="0.3">
      <c r="A103">
        <v>4104803</v>
      </c>
      <c r="B103" t="s">
        <v>457</v>
      </c>
      <c r="C103">
        <v>3</v>
      </c>
      <c r="D103">
        <v>41390</v>
      </c>
      <c r="E103">
        <v>952</v>
      </c>
      <c r="F103" t="s">
        <v>211</v>
      </c>
      <c r="G103" t="s">
        <v>147</v>
      </c>
      <c r="H103" t="s">
        <v>104</v>
      </c>
      <c r="I103" t="s">
        <v>89</v>
      </c>
      <c r="J103">
        <v>38.100313999999997</v>
      </c>
      <c r="K103">
        <v>-5.8109489999999999</v>
      </c>
    </row>
    <row r="104" spans="1:11" x14ac:dyDescent="0.3">
      <c r="A104">
        <v>4104901</v>
      </c>
      <c r="B104" t="s">
        <v>458</v>
      </c>
      <c r="C104">
        <v>1</v>
      </c>
      <c r="D104">
        <v>41210</v>
      </c>
      <c r="E104">
        <v>13857</v>
      </c>
      <c r="F104" t="s">
        <v>90</v>
      </c>
      <c r="G104" t="s">
        <v>167</v>
      </c>
      <c r="H104" t="s">
        <v>220</v>
      </c>
      <c r="I104" t="s">
        <v>235</v>
      </c>
      <c r="J104">
        <v>37.537854000000003</v>
      </c>
      <c r="K104">
        <v>-6.0510169999999999</v>
      </c>
    </row>
    <row r="105" spans="1:11" x14ac:dyDescent="0.3">
      <c r="A105">
        <v>4105001</v>
      </c>
      <c r="B105" t="s">
        <v>459</v>
      </c>
      <c r="C105">
        <v>1</v>
      </c>
      <c r="D105">
        <v>41567</v>
      </c>
      <c r="E105">
        <v>964</v>
      </c>
      <c r="F105" t="s">
        <v>133</v>
      </c>
      <c r="G105" t="s">
        <v>191</v>
      </c>
      <c r="H105" t="s">
        <v>399</v>
      </c>
      <c r="I105" t="s">
        <v>89</v>
      </c>
      <c r="J105">
        <v>37.362464000000003</v>
      </c>
      <c r="K105">
        <v>-4.8796309999999998</v>
      </c>
    </row>
    <row r="106" spans="1:11" x14ac:dyDescent="0.3">
      <c r="A106">
        <v>4105002</v>
      </c>
      <c r="B106" t="s">
        <v>459</v>
      </c>
      <c r="C106">
        <v>2</v>
      </c>
      <c r="D106">
        <v>41567</v>
      </c>
      <c r="E106">
        <v>2467</v>
      </c>
      <c r="F106" t="s">
        <v>90</v>
      </c>
      <c r="G106" t="s">
        <v>128</v>
      </c>
      <c r="H106" t="s">
        <v>154</v>
      </c>
      <c r="I106" t="s">
        <v>89</v>
      </c>
      <c r="J106">
        <v>37.392744999999998</v>
      </c>
      <c r="K106">
        <v>-4.8811059999999999</v>
      </c>
    </row>
    <row r="107" spans="1:11" x14ac:dyDescent="0.3">
      <c r="A107">
        <v>4105003</v>
      </c>
      <c r="B107" t="s">
        <v>459</v>
      </c>
      <c r="C107">
        <v>3</v>
      </c>
      <c r="D107">
        <v>41567</v>
      </c>
      <c r="E107">
        <v>3087</v>
      </c>
      <c r="F107" t="s">
        <v>90</v>
      </c>
      <c r="G107" t="s">
        <v>256</v>
      </c>
      <c r="H107" t="s">
        <v>188</v>
      </c>
      <c r="I107" t="s">
        <v>376</v>
      </c>
      <c r="J107">
        <v>37.35275</v>
      </c>
      <c r="K107">
        <v>-4.8364739999999999</v>
      </c>
    </row>
    <row r="108" spans="1:11" x14ac:dyDescent="0.3">
      <c r="A108">
        <v>4105101</v>
      </c>
      <c r="B108" t="s">
        <v>460</v>
      </c>
      <c r="C108">
        <v>1</v>
      </c>
      <c r="D108">
        <v>41830</v>
      </c>
      <c r="E108">
        <v>3353</v>
      </c>
      <c r="F108" t="s">
        <v>163</v>
      </c>
      <c r="G108" t="s">
        <v>114</v>
      </c>
      <c r="H108" t="s">
        <v>153</v>
      </c>
      <c r="I108" t="s">
        <v>235</v>
      </c>
      <c r="J108">
        <v>37.347011000000002</v>
      </c>
      <c r="K108">
        <v>-6.2985850000000001</v>
      </c>
    </row>
    <row r="109" spans="1:11" x14ac:dyDescent="0.3">
      <c r="A109">
        <v>4190201</v>
      </c>
      <c r="B109" t="s">
        <v>518</v>
      </c>
      <c r="C109">
        <v>1</v>
      </c>
      <c r="D109">
        <v>41140</v>
      </c>
      <c r="E109">
        <v>5785</v>
      </c>
      <c r="F109" t="s">
        <v>115</v>
      </c>
      <c r="G109" t="s">
        <v>255</v>
      </c>
      <c r="H109" t="s">
        <v>373</v>
      </c>
      <c r="I109" t="s">
        <v>98</v>
      </c>
      <c r="J109">
        <v>37.164977</v>
      </c>
      <c r="K109">
        <v>-6.157108</v>
      </c>
    </row>
    <row r="110" spans="1:11" x14ac:dyDescent="0.3">
      <c r="A110">
        <v>4105201</v>
      </c>
      <c r="B110" t="s">
        <v>461</v>
      </c>
      <c r="C110">
        <v>1</v>
      </c>
      <c r="D110">
        <v>41630</v>
      </c>
      <c r="E110">
        <v>3860</v>
      </c>
      <c r="F110" t="s">
        <v>86</v>
      </c>
      <c r="G110" t="s">
        <v>108</v>
      </c>
      <c r="H110" t="s">
        <v>147</v>
      </c>
      <c r="I110" t="s">
        <v>98</v>
      </c>
      <c r="J110">
        <v>37.348590000000002</v>
      </c>
      <c r="K110">
        <v>-5.2249359999999996</v>
      </c>
    </row>
    <row r="111" spans="1:11" x14ac:dyDescent="0.3">
      <c r="A111">
        <v>4105301</v>
      </c>
      <c r="B111" t="s">
        <v>462</v>
      </c>
      <c r="C111">
        <v>1</v>
      </c>
      <c r="D111">
        <v>41740</v>
      </c>
      <c r="E111">
        <v>9129</v>
      </c>
      <c r="F111" t="s">
        <v>90</v>
      </c>
      <c r="G111" t="s">
        <v>178</v>
      </c>
      <c r="H111" t="s">
        <v>245</v>
      </c>
      <c r="I111" t="s">
        <v>235</v>
      </c>
      <c r="J111">
        <v>36.918325000000003</v>
      </c>
      <c r="K111">
        <v>-6.0752540000000002</v>
      </c>
    </row>
    <row r="112" spans="1:11" x14ac:dyDescent="0.3">
      <c r="A112">
        <v>4105302</v>
      </c>
      <c r="B112" t="s">
        <v>462</v>
      </c>
      <c r="C112">
        <v>2</v>
      </c>
      <c r="D112">
        <v>41740</v>
      </c>
      <c r="E112">
        <v>4426</v>
      </c>
      <c r="F112" t="s">
        <v>86</v>
      </c>
      <c r="G112" t="s">
        <v>162</v>
      </c>
      <c r="H112" t="s">
        <v>365</v>
      </c>
      <c r="I112" t="s">
        <v>161</v>
      </c>
      <c r="J112">
        <v>36.915283000000002</v>
      </c>
      <c r="K112">
        <v>-6.0800700000000001</v>
      </c>
    </row>
    <row r="113" spans="1:11" x14ac:dyDescent="0.3">
      <c r="A113">
        <v>4105303</v>
      </c>
      <c r="B113" t="s">
        <v>462</v>
      </c>
      <c r="C113">
        <v>3</v>
      </c>
      <c r="D113">
        <v>41740</v>
      </c>
      <c r="E113">
        <v>5578</v>
      </c>
      <c r="F113" t="s">
        <v>90</v>
      </c>
      <c r="G113" t="s">
        <v>241</v>
      </c>
      <c r="H113" t="s">
        <v>128</v>
      </c>
      <c r="I113" t="s">
        <v>235</v>
      </c>
      <c r="J113">
        <v>36.921317999999999</v>
      </c>
      <c r="K113">
        <v>-6.0688550000000001</v>
      </c>
    </row>
    <row r="114" spans="1:11" x14ac:dyDescent="0.3">
      <c r="A114">
        <v>4105304</v>
      </c>
      <c r="B114" t="s">
        <v>462</v>
      </c>
      <c r="C114">
        <v>4</v>
      </c>
      <c r="D114">
        <v>41740</v>
      </c>
      <c r="E114">
        <v>8458</v>
      </c>
      <c r="F114" t="s">
        <v>94</v>
      </c>
      <c r="G114" t="s">
        <v>117</v>
      </c>
      <c r="H114" t="s">
        <v>147</v>
      </c>
      <c r="I114" t="s">
        <v>161</v>
      </c>
      <c r="J114">
        <v>36.922451000000002</v>
      </c>
      <c r="K114">
        <v>-6.0783009999999997</v>
      </c>
    </row>
    <row r="115" spans="1:11" x14ac:dyDescent="0.3">
      <c r="A115">
        <v>4105401</v>
      </c>
      <c r="B115" t="s">
        <v>463</v>
      </c>
      <c r="C115">
        <v>1</v>
      </c>
      <c r="D115">
        <v>41564</v>
      </c>
      <c r="E115">
        <v>891</v>
      </c>
      <c r="F115" t="s">
        <v>90</v>
      </c>
      <c r="G115" t="s">
        <v>368</v>
      </c>
      <c r="H115" t="s">
        <v>139</v>
      </c>
      <c r="I115" t="s">
        <v>107</v>
      </c>
      <c r="J115">
        <v>37.270845999999999</v>
      </c>
      <c r="K115">
        <v>-4.819051</v>
      </c>
    </row>
    <row r="116" spans="1:11" x14ac:dyDescent="0.3">
      <c r="A116">
        <v>4105501</v>
      </c>
      <c r="B116" t="s">
        <v>464</v>
      </c>
      <c r="C116">
        <v>1</v>
      </c>
      <c r="D116">
        <v>41440</v>
      </c>
      <c r="E116">
        <v>5307</v>
      </c>
      <c r="F116" t="s">
        <v>90</v>
      </c>
      <c r="G116" t="s">
        <v>160</v>
      </c>
      <c r="H116" t="s">
        <v>139</v>
      </c>
      <c r="I116" t="s">
        <v>161</v>
      </c>
      <c r="J116">
        <v>37.651287000000004</v>
      </c>
      <c r="K116">
        <v>-5.5332929999999996</v>
      </c>
    </row>
    <row r="117" spans="1:11" x14ac:dyDescent="0.3">
      <c r="A117">
        <v>4105502</v>
      </c>
      <c r="B117" t="s">
        <v>464</v>
      </c>
      <c r="C117">
        <v>2</v>
      </c>
      <c r="D117">
        <v>41440</v>
      </c>
      <c r="E117">
        <v>9175</v>
      </c>
      <c r="F117" t="s">
        <v>86</v>
      </c>
      <c r="G117" t="s">
        <v>178</v>
      </c>
      <c r="H117" t="s">
        <v>164</v>
      </c>
      <c r="I117" t="s">
        <v>161</v>
      </c>
      <c r="J117">
        <v>37.657829</v>
      </c>
      <c r="K117">
        <v>-5.5292349999999999</v>
      </c>
    </row>
    <row r="118" spans="1:11" x14ac:dyDescent="0.3">
      <c r="A118">
        <v>4105503</v>
      </c>
      <c r="B118" t="s">
        <v>464</v>
      </c>
      <c r="C118">
        <v>3</v>
      </c>
      <c r="D118">
        <v>41440</v>
      </c>
      <c r="E118">
        <v>3777</v>
      </c>
      <c r="F118" t="s">
        <v>94</v>
      </c>
      <c r="G118" t="s">
        <v>201</v>
      </c>
      <c r="H118" t="s">
        <v>97</v>
      </c>
      <c r="I118" t="s">
        <v>98</v>
      </c>
      <c r="J118">
        <v>37.659092999999999</v>
      </c>
      <c r="K118">
        <v>-5.5343299999999997</v>
      </c>
    </row>
    <row r="119" spans="1:11" x14ac:dyDescent="0.3">
      <c r="A119">
        <v>4105601</v>
      </c>
      <c r="B119" t="s">
        <v>502</v>
      </c>
      <c r="C119">
        <v>1</v>
      </c>
      <c r="D119">
        <v>41430</v>
      </c>
      <c r="E119">
        <v>4631</v>
      </c>
      <c r="F119" t="s">
        <v>90</v>
      </c>
      <c r="G119" t="s">
        <v>103</v>
      </c>
      <c r="H119" t="s">
        <v>168</v>
      </c>
      <c r="I119" t="s">
        <v>98</v>
      </c>
      <c r="J119">
        <v>37.527847999999999</v>
      </c>
      <c r="K119">
        <v>-5.2493090000000002</v>
      </c>
    </row>
    <row r="120" spans="1:11" x14ac:dyDescent="0.3">
      <c r="A120">
        <v>4105701</v>
      </c>
      <c r="B120" t="s">
        <v>503</v>
      </c>
      <c r="C120">
        <v>1</v>
      </c>
      <c r="D120">
        <v>41897</v>
      </c>
      <c r="E120">
        <v>305</v>
      </c>
      <c r="F120" t="s">
        <v>163</v>
      </c>
      <c r="G120" t="s">
        <v>214</v>
      </c>
      <c r="H120" t="s">
        <v>406</v>
      </c>
      <c r="I120" t="s">
        <v>382</v>
      </c>
      <c r="J120">
        <v>37.650185</v>
      </c>
      <c r="K120">
        <v>-6.4475930000000004</v>
      </c>
    </row>
    <row r="121" spans="1:11" x14ac:dyDescent="0.3">
      <c r="A121">
        <v>4105801</v>
      </c>
      <c r="B121" t="s">
        <v>465</v>
      </c>
      <c r="C121">
        <v>1</v>
      </c>
      <c r="D121">
        <v>41510</v>
      </c>
      <c r="E121">
        <v>3999</v>
      </c>
      <c r="F121" t="s">
        <v>110</v>
      </c>
      <c r="G121" t="s">
        <v>113</v>
      </c>
      <c r="H121" t="s">
        <v>147</v>
      </c>
      <c r="I121" t="s">
        <v>357</v>
      </c>
      <c r="J121">
        <v>37.375990999999999</v>
      </c>
      <c r="K121">
        <v>-5.7531470000000002</v>
      </c>
    </row>
    <row r="122" spans="1:11" x14ac:dyDescent="0.3">
      <c r="A122">
        <v>4105802</v>
      </c>
      <c r="B122" t="s">
        <v>465</v>
      </c>
      <c r="C122">
        <v>2</v>
      </c>
      <c r="D122">
        <v>41510</v>
      </c>
      <c r="E122">
        <v>8984</v>
      </c>
      <c r="F122" t="s">
        <v>99</v>
      </c>
      <c r="G122" t="s">
        <v>104</v>
      </c>
      <c r="H122" t="s">
        <v>204</v>
      </c>
      <c r="I122" t="s">
        <v>357</v>
      </c>
      <c r="J122">
        <v>37.371414999999999</v>
      </c>
      <c r="K122">
        <v>-5.7514969999999996</v>
      </c>
    </row>
    <row r="123" spans="1:11" x14ac:dyDescent="0.3">
      <c r="A123">
        <v>4105803</v>
      </c>
      <c r="B123" t="s">
        <v>465</v>
      </c>
      <c r="C123">
        <v>3</v>
      </c>
      <c r="D123">
        <v>41510</v>
      </c>
      <c r="E123">
        <v>11214</v>
      </c>
      <c r="F123" t="s">
        <v>163</v>
      </c>
      <c r="G123" t="s">
        <v>124</v>
      </c>
      <c r="H123" t="s">
        <v>131</v>
      </c>
      <c r="I123" t="s">
        <v>376</v>
      </c>
      <c r="J123">
        <v>37.378239999999998</v>
      </c>
      <c r="K123">
        <v>-5.7469060000000001</v>
      </c>
    </row>
    <row r="124" spans="1:11" x14ac:dyDescent="0.3">
      <c r="A124">
        <v>4105901</v>
      </c>
      <c r="B124" t="s">
        <v>466</v>
      </c>
      <c r="C124">
        <v>1</v>
      </c>
      <c r="D124">
        <v>41927</v>
      </c>
      <c r="E124">
        <v>47538</v>
      </c>
      <c r="F124" t="s">
        <v>173</v>
      </c>
      <c r="G124" t="s">
        <v>159</v>
      </c>
      <c r="H124" t="s">
        <v>177</v>
      </c>
      <c r="I124" t="s">
        <v>357</v>
      </c>
      <c r="J124">
        <v>37.344051999999998</v>
      </c>
      <c r="K124">
        <v>-6.0627599999999999</v>
      </c>
    </row>
    <row r="125" spans="1:11" x14ac:dyDescent="0.3">
      <c r="A125">
        <v>4106001</v>
      </c>
      <c r="B125" t="s">
        <v>468</v>
      </c>
      <c r="C125">
        <v>1</v>
      </c>
      <c r="D125">
        <v>41620</v>
      </c>
      <c r="E125">
        <v>6165</v>
      </c>
      <c r="F125" t="s">
        <v>133</v>
      </c>
      <c r="G125" t="s">
        <v>108</v>
      </c>
      <c r="H125" t="s">
        <v>146</v>
      </c>
      <c r="I125" t="s">
        <v>235</v>
      </c>
      <c r="J125">
        <v>37.339709999999997</v>
      </c>
      <c r="K125">
        <v>-5.4189309999999997</v>
      </c>
    </row>
    <row r="126" spans="1:11" x14ac:dyDescent="0.3">
      <c r="A126">
        <v>4106002</v>
      </c>
      <c r="B126" t="s">
        <v>468</v>
      </c>
      <c r="C126">
        <v>2</v>
      </c>
      <c r="D126">
        <v>41620</v>
      </c>
      <c r="E126">
        <v>3409</v>
      </c>
      <c r="F126" t="s">
        <v>99</v>
      </c>
      <c r="G126" t="s">
        <v>116</v>
      </c>
      <c r="H126" t="s">
        <v>396</v>
      </c>
      <c r="I126" t="s">
        <v>98</v>
      </c>
      <c r="J126">
        <v>37.326439000000001</v>
      </c>
      <c r="K126">
        <v>-5.4167100000000001</v>
      </c>
    </row>
    <row r="127" spans="1:11" x14ac:dyDescent="0.3">
      <c r="A127">
        <v>4106003</v>
      </c>
      <c r="B127" t="s">
        <v>468</v>
      </c>
      <c r="C127">
        <v>3</v>
      </c>
      <c r="D127">
        <v>41620</v>
      </c>
      <c r="E127">
        <v>9713</v>
      </c>
      <c r="F127" t="s">
        <v>90</v>
      </c>
      <c r="G127" t="s">
        <v>139</v>
      </c>
      <c r="H127" t="s">
        <v>198</v>
      </c>
      <c r="I127" t="s">
        <v>235</v>
      </c>
      <c r="J127">
        <v>37.329332999999998</v>
      </c>
      <c r="K127">
        <v>-5.4187630000000002</v>
      </c>
    </row>
    <row r="128" spans="1:11" x14ac:dyDescent="0.3">
      <c r="A128">
        <v>4106101</v>
      </c>
      <c r="B128" t="s">
        <v>467</v>
      </c>
      <c r="C128">
        <v>1</v>
      </c>
      <c r="D128">
        <v>41569</v>
      </c>
      <c r="E128">
        <v>2559</v>
      </c>
      <c r="F128" t="s">
        <v>94</v>
      </c>
      <c r="G128" t="s">
        <v>87</v>
      </c>
      <c r="H128" t="s">
        <v>120</v>
      </c>
      <c r="I128" t="s">
        <v>161</v>
      </c>
      <c r="J128">
        <v>37.360812000000003</v>
      </c>
      <c r="K128">
        <v>-4.961246</v>
      </c>
    </row>
    <row r="129" spans="1:11" x14ac:dyDescent="0.3">
      <c r="A129">
        <v>4106201</v>
      </c>
      <c r="B129" t="s">
        <v>504</v>
      </c>
      <c r="C129">
        <v>1</v>
      </c>
      <c r="D129">
        <v>41658</v>
      </c>
      <c r="E129">
        <v>2645</v>
      </c>
      <c r="F129" t="s">
        <v>94</v>
      </c>
      <c r="G129" t="s">
        <v>151</v>
      </c>
      <c r="H129" t="s">
        <v>243</v>
      </c>
      <c r="I129" t="s">
        <v>89</v>
      </c>
      <c r="J129">
        <v>37.117663999999998</v>
      </c>
      <c r="K129">
        <v>-4.933751</v>
      </c>
    </row>
    <row r="130" spans="1:11" x14ac:dyDescent="0.3">
      <c r="A130">
        <v>4106301</v>
      </c>
      <c r="B130" t="s">
        <v>505</v>
      </c>
      <c r="C130">
        <v>1</v>
      </c>
      <c r="D130">
        <v>41750</v>
      </c>
      <c r="E130">
        <v>3629</v>
      </c>
      <c r="F130" t="s">
        <v>86</v>
      </c>
      <c r="G130" t="s">
        <v>242</v>
      </c>
      <c r="H130" t="s">
        <v>153</v>
      </c>
      <c r="I130" t="s">
        <v>235</v>
      </c>
      <c r="J130">
        <v>37.151138000000003</v>
      </c>
      <c r="K130">
        <v>-5.7242749999999996</v>
      </c>
    </row>
    <row r="131" spans="1:11" x14ac:dyDescent="0.3">
      <c r="A131">
        <v>4106401</v>
      </c>
      <c r="B131" t="s">
        <v>469</v>
      </c>
      <c r="C131">
        <v>1</v>
      </c>
      <c r="D131">
        <v>41770</v>
      </c>
      <c r="E131">
        <v>1732</v>
      </c>
      <c r="F131" t="s">
        <v>94</v>
      </c>
      <c r="G131" t="s">
        <v>118</v>
      </c>
      <c r="H131" t="s">
        <v>138</v>
      </c>
      <c r="I131" t="s">
        <v>89</v>
      </c>
      <c r="J131">
        <v>36.989432000000001</v>
      </c>
      <c r="K131">
        <v>-5.5725439999999997</v>
      </c>
    </row>
    <row r="132" spans="1:11" x14ac:dyDescent="0.3">
      <c r="A132">
        <v>4106402</v>
      </c>
      <c r="B132" t="s">
        <v>469</v>
      </c>
      <c r="C132">
        <v>2</v>
      </c>
      <c r="D132">
        <v>41770</v>
      </c>
      <c r="E132">
        <v>3533</v>
      </c>
      <c r="F132" t="s">
        <v>94</v>
      </c>
      <c r="G132" t="s">
        <v>103</v>
      </c>
      <c r="H132" t="s">
        <v>373</v>
      </c>
      <c r="I132" t="s">
        <v>98</v>
      </c>
      <c r="J132">
        <v>36.994084999999998</v>
      </c>
      <c r="K132">
        <v>-5.5550560000000004</v>
      </c>
    </row>
    <row r="133" spans="1:11" x14ac:dyDescent="0.3">
      <c r="A133">
        <v>4106403</v>
      </c>
      <c r="B133" t="s">
        <v>469</v>
      </c>
      <c r="C133">
        <v>3</v>
      </c>
      <c r="D133">
        <v>41770</v>
      </c>
      <c r="E133">
        <v>1760</v>
      </c>
      <c r="F133" t="s">
        <v>94</v>
      </c>
      <c r="G133" t="s">
        <v>117</v>
      </c>
      <c r="H133" t="s">
        <v>164</v>
      </c>
      <c r="I133" t="s">
        <v>89</v>
      </c>
      <c r="J133">
        <v>37.005074999999998</v>
      </c>
      <c r="K133">
        <v>-5.5464120000000001</v>
      </c>
    </row>
    <row r="134" spans="1:11" x14ac:dyDescent="0.3">
      <c r="A134">
        <v>4106501</v>
      </c>
      <c r="B134" t="s">
        <v>470</v>
      </c>
      <c r="C134">
        <v>1</v>
      </c>
      <c r="D134">
        <v>41530</v>
      </c>
      <c r="E134">
        <v>7383</v>
      </c>
      <c r="F134" t="s">
        <v>90</v>
      </c>
      <c r="G134" t="s">
        <v>116</v>
      </c>
      <c r="H134" t="s">
        <v>145</v>
      </c>
      <c r="I134" t="s">
        <v>98</v>
      </c>
      <c r="J134">
        <v>37.125864999999997</v>
      </c>
      <c r="K134">
        <v>-5.4553149999999997</v>
      </c>
    </row>
    <row r="135" spans="1:11" x14ac:dyDescent="0.3">
      <c r="A135">
        <v>4106502</v>
      </c>
      <c r="B135" t="s">
        <v>470</v>
      </c>
      <c r="C135">
        <v>2</v>
      </c>
      <c r="D135">
        <v>41530</v>
      </c>
      <c r="E135">
        <v>7851</v>
      </c>
      <c r="F135" t="s">
        <v>110</v>
      </c>
      <c r="G135" t="s">
        <v>238</v>
      </c>
      <c r="H135" t="s">
        <v>148</v>
      </c>
      <c r="I135" t="s">
        <v>161</v>
      </c>
      <c r="J135">
        <v>37.121946000000001</v>
      </c>
      <c r="K135">
        <v>-5.4560899999999997</v>
      </c>
    </row>
    <row r="136" spans="1:11" x14ac:dyDescent="0.3">
      <c r="A136">
        <v>4106503</v>
      </c>
      <c r="B136" t="s">
        <v>470</v>
      </c>
      <c r="C136">
        <v>3</v>
      </c>
      <c r="D136">
        <v>41530</v>
      </c>
      <c r="E136">
        <v>6145</v>
      </c>
      <c r="F136" t="s">
        <v>86</v>
      </c>
      <c r="G136" t="s">
        <v>103</v>
      </c>
      <c r="H136" t="s">
        <v>216</v>
      </c>
      <c r="I136" t="s">
        <v>98</v>
      </c>
      <c r="J136">
        <v>37.124392999999998</v>
      </c>
      <c r="K136">
        <v>-5.4495079999999998</v>
      </c>
    </row>
    <row r="137" spans="1:11" x14ac:dyDescent="0.3">
      <c r="A137">
        <v>4106504</v>
      </c>
      <c r="B137" t="s">
        <v>470</v>
      </c>
      <c r="C137">
        <v>4</v>
      </c>
      <c r="D137">
        <v>41530</v>
      </c>
      <c r="E137">
        <v>4354</v>
      </c>
      <c r="F137" t="s">
        <v>86</v>
      </c>
      <c r="G137" t="s">
        <v>191</v>
      </c>
      <c r="H137" t="s">
        <v>274</v>
      </c>
      <c r="I137" t="s">
        <v>161</v>
      </c>
      <c r="J137">
        <v>37.119599000000001</v>
      </c>
      <c r="K137">
        <v>-5.4521920000000001</v>
      </c>
    </row>
    <row r="138" spans="1:11" x14ac:dyDescent="0.3">
      <c r="A138">
        <v>4106505</v>
      </c>
      <c r="B138" t="s">
        <v>470</v>
      </c>
      <c r="C138">
        <v>5</v>
      </c>
      <c r="D138">
        <v>41530</v>
      </c>
      <c r="E138">
        <v>1264</v>
      </c>
      <c r="F138" t="s">
        <v>90</v>
      </c>
      <c r="G138" t="s">
        <v>217</v>
      </c>
      <c r="H138" t="s">
        <v>238</v>
      </c>
      <c r="I138" t="s">
        <v>89</v>
      </c>
      <c r="J138">
        <v>37.114100000000001</v>
      </c>
      <c r="K138">
        <v>-5.4265699999999999</v>
      </c>
    </row>
    <row r="139" spans="1:11" x14ac:dyDescent="0.3">
      <c r="A139">
        <v>4106601</v>
      </c>
      <c r="B139" t="s">
        <v>506</v>
      </c>
      <c r="C139">
        <v>1</v>
      </c>
      <c r="D139">
        <v>41460</v>
      </c>
      <c r="E139">
        <v>719</v>
      </c>
      <c r="F139" t="s">
        <v>86</v>
      </c>
      <c r="G139" t="s">
        <v>238</v>
      </c>
      <c r="H139" t="s">
        <v>407</v>
      </c>
      <c r="I139" t="s">
        <v>102</v>
      </c>
      <c r="J139">
        <v>37.920827000000003</v>
      </c>
      <c r="K139">
        <v>-5.4656960000000003</v>
      </c>
    </row>
    <row r="140" spans="1:11" x14ac:dyDescent="0.3">
      <c r="A140">
        <v>4106602</v>
      </c>
      <c r="B140" t="s">
        <v>506</v>
      </c>
      <c r="C140">
        <v>2</v>
      </c>
      <c r="D140">
        <v>41460</v>
      </c>
      <c r="E140">
        <v>802</v>
      </c>
      <c r="F140" t="s">
        <v>94</v>
      </c>
      <c r="G140" t="s">
        <v>111</v>
      </c>
      <c r="H140" t="s">
        <v>233</v>
      </c>
      <c r="I140" t="s">
        <v>102</v>
      </c>
      <c r="J140">
        <v>37.949297000000001</v>
      </c>
      <c r="K140">
        <v>-5.4589629999999998</v>
      </c>
    </row>
    <row r="141" spans="1:11" x14ac:dyDescent="0.3">
      <c r="A141">
        <v>4106701</v>
      </c>
      <c r="B141" t="s">
        <v>471</v>
      </c>
      <c r="C141">
        <v>1</v>
      </c>
      <c r="D141">
        <v>41804</v>
      </c>
      <c r="E141">
        <v>5225</v>
      </c>
      <c r="F141" t="s">
        <v>90</v>
      </c>
      <c r="G141" t="s">
        <v>118</v>
      </c>
      <c r="H141" t="s">
        <v>364</v>
      </c>
      <c r="I141" t="s">
        <v>235</v>
      </c>
      <c r="J141">
        <v>37.465643999999998</v>
      </c>
      <c r="K141">
        <v>-6.1544249999999998</v>
      </c>
    </row>
    <row r="142" spans="1:11" x14ac:dyDescent="0.3">
      <c r="A142">
        <v>4106702</v>
      </c>
      <c r="B142" t="s">
        <v>471</v>
      </c>
      <c r="C142">
        <v>2</v>
      </c>
      <c r="D142">
        <v>41804</v>
      </c>
      <c r="E142">
        <v>4229</v>
      </c>
      <c r="F142" t="s">
        <v>94</v>
      </c>
      <c r="G142" t="s">
        <v>182</v>
      </c>
      <c r="H142" t="s">
        <v>103</v>
      </c>
      <c r="I142" t="s">
        <v>235</v>
      </c>
      <c r="J142">
        <v>37.413769000000002</v>
      </c>
      <c r="K142">
        <v>-6.154566</v>
      </c>
    </row>
    <row r="143" spans="1:11" x14ac:dyDescent="0.3">
      <c r="A143">
        <v>4106801</v>
      </c>
      <c r="B143" t="s">
        <v>472</v>
      </c>
      <c r="C143">
        <v>1</v>
      </c>
      <c r="D143">
        <v>41640</v>
      </c>
      <c r="E143">
        <v>3300</v>
      </c>
      <c r="F143" t="s">
        <v>86</v>
      </c>
      <c r="G143" t="s">
        <v>216</v>
      </c>
      <c r="H143" t="s">
        <v>164</v>
      </c>
      <c r="I143" t="s">
        <v>235</v>
      </c>
      <c r="J143">
        <v>37.246499</v>
      </c>
      <c r="K143">
        <v>-5.1050940000000002</v>
      </c>
    </row>
    <row r="144" spans="1:11" x14ac:dyDescent="0.3">
      <c r="A144">
        <v>4106802</v>
      </c>
      <c r="B144" t="s">
        <v>472</v>
      </c>
      <c r="C144">
        <v>2</v>
      </c>
      <c r="D144">
        <v>41640</v>
      </c>
      <c r="E144">
        <v>1693</v>
      </c>
      <c r="F144" t="s">
        <v>163</v>
      </c>
      <c r="G144" t="s">
        <v>204</v>
      </c>
      <c r="H144" t="s">
        <v>395</v>
      </c>
      <c r="I144" t="s">
        <v>98</v>
      </c>
      <c r="J144">
        <v>37.303232000000001</v>
      </c>
      <c r="K144">
        <v>-5.1868179999999997</v>
      </c>
    </row>
    <row r="145" spans="1:11" x14ac:dyDescent="0.3">
      <c r="A145">
        <v>4106803</v>
      </c>
      <c r="B145" t="s">
        <v>472</v>
      </c>
      <c r="C145">
        <v>3</v>
      </c>
      <c r="D145">
        <v>41640</v>
      </c>
      <c r="E145">
        <v>2991</v>
      </c>
      <c r="F145" t="s">
        <v>90</v>
      </c>
      <c r="G145" t="s">
        <v>116</v>
      </c>
      <c r="H145" t="s">
        <v>162</v>
      </c>
      <c r="I145" t="s">
        <v>161</v>
      </c>
      <c r="J145">
        <v>37.235954</v>
      </c>
      <c r="K145">
        <v>-5.1049059999999997</v>
      </c>
    </row>
    <row r="146" spans="1:11" x14ac:dyDescent="0.3">
      <c r="A146">
        <v>4106804</v>
      </c>
      <c r="B146" t="s">
        <v>472</v>
      </c>
      <c r="C146">
        <v>4</v>
      </c>
      <c r="D146">
        <v>41640</v>
      </c>
      <c r="E146">
        <v>5587</v>
      </c>
      <c r="F146" t="s">
        <v>86</v>
      </c>
      <c r="G146" t="s">
        <v>408</v>
      </c>
      <c r="H146" t="s">
        <v>169</v>
      </c>
      <c r="I146" t="s">
        <v>357</v>
      </c>
      <c r="J146">
        <v>37.178314999999998</v>
      </c>
      <c r="K146">
        <v>-5.1114300000000004</v>
      </c>
    </row>
    <row r="147" spans="1:11" x14ac:dyDescent="0.3">
      <c r="A147">
        <v>4106805</v>
      </c>
      <c r="B147" t="s">
        <v>472</v>
      </c>
      <c r="C147">
        <v>5</v>
      </c>
      <c r="D147">
        <v>41640</v>
      </c>
      <c r="E147">
        <v>3623</v>
      </c>
      <c r="F147" t="s">
        <v>90</v>
      </c>
      <c r="G147" t="s">
        <v>217</v>
      </c>
      <c r="H147" t="s">
        <v>145</v>
      </c>
      <c r="I147" t="s">
        <v>98</v>
      </c>
      <c r="J147">
        <v>37.234912000000001</v>
      </c>
      <c r="K147">
        <v>-5.1189850000000003</v>
      </c>
    </row>
    <row r="148" spans="1:11" x14ac:dyDescent="0.3">
      <c r="A148">
        <v>4106901</v>
      </c>
      <c r="B148" t="s">
        <v>507</v>
      </c>
      <c r="C148">
        <v>1</v>
      </c>
      <c r="D148">
        <v>41720</v>
      </c>
      <c r="E148">
        <v>8403</v>
      </c>
      <c r="F148" t="s">
        <v>94</v>
      </c>
      <c r="G148" t="s">
        <v>103</v>
      </c>
      <c r="H148" t="s">
        <v>118</v>
      </c>
      <c r="I148" t="s">
        <v>357</v>
      </c>
      <c r="J148">
        <v>37.161352999999998</v>
      </c>
      <c r="K148">
        <v>-5.926361</v>
      </c>
    </row>
    <row r="149" spans="1:11" x14ac:dyDescent="0.3">
      <c r="A149">
        <v>4106902</v>
      </c>
      <c r="B149" t="s">
        <v>507</v>
      </c>
      <c r="C149">
        <v>2</v>
      </c>
      <c r="D149">
        <v>41720</v>
      </c>
      <c r="E149">
        <v>7304</v>
      </c>
      <c r="F149" t="s">
        <v>86</v>
      </c>
      <c r="G149" t="s">
        <v>223</v>
      </c>
      <c r="H149" t="s">
        <v>117</v>
      </c>
      <c r="I149" t="s">
        <v>357</v>
      </c>
      <c r="J149">
        <v>37.158115000000002</v>
      </c>
      <c r="K149">
        <v>-5.9274779999999998</v>
      </c>
    </row>
    <row r="150" spans="1:11" x14ac:dyDescent="0.3">
      <c r="A150">
        <v>4106903</v>
      </c>
      <c r="B150" t="s">
        <v>507</v>
      </c>
      <c r="C150">
        <v>3</v>
      </c>
      <c r="D150">
        <v>41720</v>
      </c>
      <c r="E150">
        <v>11455</v>
      </c>
      <c r="F150" t="s">
        <v>90</v>
      </c>
      <c r="G150" t="s">
        <v>139</v>
      </c>
      <c r="H150" t="s">
        <v>397</v>
      </c>
      <c r="I150" t="s">
        <v>357</v>
      </c>
      <c r="J150">
        <v>37.161011000000002</v>
      </c>
      <c r="K150">
        <v>-5.9215540000000004</v>
      </c>
    </row>
    <row r="151" spans="1:11" x14ac:dyDescent="0.3">
      <c r="A151">
        <v>4106904</v>
      </c>
      <c r="B151" t="s">
        <v>507</v>
      </c>
      <c r="C151">
        <v>4</v>
      </c>
      <c r="D151">
        <v>41720</v>
      </c>
      <c r="E151">
        <v>11490</v>
      </c>
      <c r="F151" t="s">
        <v>94</v>
      </c>
      <c r="G151" t="s">
        <v>374</v>
      </c>
      <c r="H151" t="s">
        <v>142</v>
      </c>
      <c r="I151" t="s">
        <v>357</v>
      </c>
      <c r="J151">
        <v>37.154629</v>
      </c>
      <c r="K151">
        <v>-5.9190899999999997</v>
      </c>
    </row>
    <row r="152" spans="1:11" x14ac:dyDescent="0.3">
      <c r="A152">
        <v>4190401</v>
      </c>
      <c r="B152" t="s">
        <v>520</v>
      </c>
      <c r="C152">
        <v>1</v>
      </c>
      <c r="D152">
        <v>41719</v>
      </c>
      <c r="E152">
        <v>2174</v>
      </c>
      <c r="F152" t="s">
        <v>115</v>
      </c>
      <c r="G152" t="s">
        <v>216</v>
      </c>
      <c r="H152" t="s">
        <v>117</v>
      </c>
      <c r="I152" t="s">
        <v>161</v>
      </c>
      <c r="J152">
        <v>37.053068000000003</v>
      </c>
      <c r="K152">
        <v>-5.7900609999999997</v>
      </c>
    </row>
    <row r="153" spans="1:11" x14ac:dyDescent="0.3">
      <c r="A153">
        <v>4107001</v>
      </c>
      <c r="B153" t="s">
        <v>473</v>
      </c>
      <c r="C153">
        <v>1</v>
      </c>
      <c r="D153">
        <v>41928</v>
      </c>
      <c r="E153">
        <v>9231</v>
      </c>
      <c r="F153" t="s">
        <v>186</v>
      </c>
      <c r="G153" t="s">
        <v>240</v>
      </c>
      <c r="H153" t="s">
        <v>136</v>
      </c>
      <c r="I153" t="s">
        <v>376</v>
      </c>
      <c r="J153">
        <v>37.315275</v>
      </c>
      <c r="K153">
        <v>-6.0451550000000003</v>
      </c>
    </row>
    <row r="154" spans="1:11" x14ac:dyDescent="0.3">
      <c r="A154">
        <v>4107101</v>
      </c>
      <c r="B154" t="s">
        <v>474</v>
      </c>
      <c r="C154">
        <v>1</v>
      </c>
      <c r="D154">
        <v>41610</v>
      </c>
      <c r="E154">
        <v>1798</v>
      </c>
      <c r="F154" t="s">
        <v>90</v>
      </c>
      <c r="G154" t="s">
        <v>369</v>
      </c>
      <c r="H154" t="s">
        <v>146</v>
      </c>
      <c r="I154" t="s">
        <v>93</v>
      </c>
      <c r="J154">
        <v>37.291296000000003</v>
      </c>
      <c r="K154">
        <v>-5.497941</v>
      </c>
    </row>
    <row r="155" spans="1:11" x14ac:dyDescent="0.3">
      <c r="A155">
        <v>4107102</v>
      </c>
      <c r="B155" t="s">
        <v>474</v>
      </c>
      <c r="C155">
        <v>2</v>
      </c>
      <c r="D155">
        <v>41610</v>
      </c>
      <c r="E155">
        <v>3157</v>
      </c>
      <c r="F155" t="s">
        <v>115</v>
      </c>
      <c r="G155" t="s">
        <v>109</v>
      </c>
      <c r="H155" t="s">
        <v>116</v>
      </c>
      <c r="I155" t="s">
        <v>98</v>
      </c>
      <c r="J155">
        <v>37.284784000000002</v>
      </c>
      <c r="K155">
        <v>-5.4904310000000001</v>
      </c>
    </row>
    <row r="156" spans="1:11" x14ac:dyDescent="0.3">
      <c r="A156">
        <v>4107103</v>
      </c>
      <c r="B156" t="s">
        <v>474</v>
      </c>
      <c r="C156">
        <v>3</v>
      </c>
      <c r="D156">
        <v>41610</v>
      </c>
      <c r="E156">
        <v>1839</v>
      </c>
      <c r="F156" t="s">
        <v>133</v>
      </c>
      <c r="G156" t="s">
        <v>216</v>
      </c>
      <c r="H156" t="s">
        <v>237</v>
      </c>
      <c r="I156" t="s">
        <v>89</v>
      </c>
      <c r="J156">
        <v>37.292760000000001</v>
      </c>
      <c r="K156">
        <v>-5.4956189999999996</v>
      </c>
    </row>
    <row r="157" spans="1:11" x14ac:dyDescent="0.3">
      <c r="A157">
        <v>4107201</v>
      </c>
      <c r="B157" t="s">
        <v>475</v>
      </c>
      <c r="C157">
        <v>1</v>
      </c>
      <c r="D157">
        <v>41566</v>
      </c>
      <c r="E157">
        <v>5072</v>
      </c>
      <c r="F157" t="s">
        <v>90</v>
      </c>
      <c r="G157" t="s">
        <v>117</v>
      </c>
      <c r="H157" t="s">
        <v>182</v>
      </c>
      <c r="I157" t="s">
        <v>235</v>
      </c>
      <c r="J157">
        <v>37.201827999999999</v>
      </c>
      <c r="K157">
        <v>-4.8949600000000002</v>
      </c>
    </row>
    <row r="158" spans="1:11" x14ac:dyDescent="0.3">
      <c r="A158">
        <v>4107301</v>
      </c>
      <c r="B158" t="s">
        <v>508</v>
      </c>
      <c r="C158">
        <v>1</v>
      </c>
      <c r="D158">
        <v>41360</v>
      </c>
      <c r="E158">
        <v>2075</v>
      </c>
      <c r="F158" t="s">
        <v>90</v>
      </c>
      <c r="G158" t="s">
        <v>123</v>
      </c>
      <c r="H158" t="s">
        <v>124</v>
      </c>
      <c r="I158" t="s">
        <v>93</v>
      </c>
      <c r="J158">
        <v>37.789211999999999</v>
      </c>
      <c r="K158">
        <v>-5.7967019999999998</v>
      </c>
    </row>
    <row r="159" spans="1:11" x14ac:dyDescent="0.3">
      <c r="A159">
        <v>4107401</v>
      </c>
      <c r="B159" t="s">
        <v>476</v>
      </c>
      <c r="C159">
        <v>1</v>
      </c>
      <c r="D159">
        <v>41470</v>
      </c>
      <c r="E159">
        <v>3662</v>
      </c>
      <c r="F159" t="s">
        <v>86</v>
      </c>
      <c r="G159" t="s">
        <v>182</v>
      </c>
      <c r="H159" t="s">
        <v>150</v>
      </c>
      <c r="I159" t="s">
        <v>98</v>
      </c>
      <c r="J159">
        <v>37.731501000000002</v>
      </c>
      <c r="K159">
        <v>-5.3653360000000001</v>
      </c>
    </row>
    <row r="160" spans="1:11" x14ac:dyDescent="0.3">
      <c r="A160">
        <v>4107501</v>
      </c>
      <c r="B160" t="s">
        <v>477</v>
      </c>
      <c r="C160">
        <v>1</v>
      </c>
      <c r="D160">
        <v>41840</v>
      </c>
      <c r="E160">
        <v>14076</v>
      </c>
      <c r="F160" t="s">
        <v>86</v>
      </c>
      <c r="G160" t="s">
        <v>241</v>
      </c>
      <c r="H160" t="s">
        <v>187</v>
      </c>
      <c r="I160" t="s">
        <v>161</v>
      </c>
      <c r="J160">
        <v>37.29842</v>
      </c>
      <c r="K160">
        <v>-6.3053590000000002</v>
      </c>
    </row>
    <row r="161" spans="1:11" x14ac:dyDescent="0.3">
      <c r="A161">
        <v>4107601</v>
      </c>
      <c r="B161" t="s">
        <v>478</v>
      </c>
      <c r="C161">
        <v>1</v>
      </c>
      <c r="D161">
        <v>41670</v>
      </c>
      <c r="E161">
        <v>2531</v>
      </c>
      <c r="F161" t="s">
        <v>211</v>
      </c>
      <c r="G161" t="s">
        <v>364</v>
      </c>
      <c r="H161" t="s">
        <v>370</v>
      </c>
      <c r="I161" t="s">
        <v>93</v>
      </c>
      <c r="J161">
        <v>36.972935</v>
      </c>
      <c r="K161">
        <v>-5.2244469999999996</v>
      </c>
    </row>
    <row r="162" spans="1:11" x14ac:dyDescent="0.3">
      <c r="A162">
        <v>4107701</v>
      </c>
      <c r="B162" t="s">
        <v>509</v>
      </c>
      <c r="C162">
        <v>1</v>
      </c>
      <c r="D162">
        <v>41540</v>
      </c>
      <c r="E162">
        <v>2641</v>
      </c>
      <c r="F162" t="s">
        <v>90</v>
      </c>
      <c r="G162" t="s">
        <v>160</v>
      </c>
      <c r="H162" t="s">
        <v>228</v>
      </c>
      <c r="I162" t="s">
        <v>98</v>
      </c>
      <c r="J162">
        <v>37.221640999999998</v>
      </c>
      <c r="K162">
        <v>-5.308376</v>
      </c>
    </row>
    <row r="163" spans="1:11" x14ac:dyDescent="0.3">
      <c r="A163">
        <v>4107702</v>
      </c>
      <c r="B163" t="s">
        <v>509</v>
      </c>
      <c r="C163">
        <v>2</v>
      </c>
      <c r="D163">
        <v>41540</v>
      </c>
      <c r="E163">
        <v>5286</v>
      </c>
      <c r="F163" t="s">
        <v>90</v>
      </c>
      <c r="G163" t="s">
        <v>244</v>
      </c>
      <c r="H163" t="s">
        <v>164</v>
      </c>
      <c r="I163" t="s">
        <v>235</v>
      </c>
      <c r="J163">
        <v>37.222727999999996</v>
      </c>
      <c r="K163">
        <v>-5.3152489999999997</v>
      </c>
    </row>
    <row r="164" spans="1:11" x14ac:dyDescent="0.3">
      <c r="A164">
        <v>4107703</v>
      </c>
      <c r="B164" t="s">
        <v>509</v>
      </c>
      <c r="C164">
        <v>3</v>
      </c>
      <c r="D164">
        <v>41540</v>
      </c>
      <c r="E164">
        <v>2810</v>
      </c>
      <c r="F164" t="s">
        <v>86</v>
      </c>
      <c r="G164" t="s">
        <v>233</v>
      </c>
      <c r="H164" t="s">
        <v>149</v>
      </c>
      <c r="I164" t="s">
        <v>235</v>
      </c>
      <c r="J164">
        <v>37.218181000000001</v>
      </c>
      <c r="K164">
        <v>-5.3115730000000001</v>
      </c>
    </row>
    <row r="165" spans="1:11" x14ac:dyDescent="0.3">
      <c r="A165">
        <v>4107801</v>
      </c>
      <c r="B165" t="s">
        <v>510</v>
      </c>
      <c r="C165">
        <v>1</v>
      </c>
      <c r="D165">
        <v>41479</v>
      </c>
      <c r="E165">
        <v>704</v>
      </c>
      <c r="F165" t="s">
        <v>115</v>
      </c>
      <c r="G165" t="s">
        <v>179</v>
      </c>
      <c r="H165" t="s">
        <v>148</v>
      </c>
      <c r="I165" t="s">
        <v>102</v>
      </c>
      <c r="J165">
        <v>37.777425000000001</v>
      </c>
      <c r="K165">
        <v>-5.3882389999999996</v>
      </c>
    </row>
    <row r="166" spans="1:11" x14ac:dyDescent="0.3">
      <c r="A166">
        <v>4107802</v>
      </c>
      <c r="B166" t="s">
        <v>510</v>
      </c>
      <c r="C166">
        <v>2</v>
      </c>
      <c r="D166">
        <v>41479</v>
      </c>
      <c r="E166">
        <v>2200</v>
      </c>
      <c r="F166" t="s">
        <v>86</v>
      </c>
      <c r="G166" t="s">
        <v>87</v>
      </c>
      <c r="H166" t="s">
        <v>218</v>
      </c>
      <c r="I166" t="s">
        <v>89</v>
      </c>
      <c r="J166">
        <v>37.782282000000002</v>
      </c>
      <c r="K166">
        <v>-5.3909799999999999</v>
      </c>
    </row>
    <row r="167" spans="1:11" x14ac:dyDescent="0.3">
      <c r="A167">
        <v>4107901</v>
      </c>
      <c r="B167" t="s">
        <v>511</v>
      </c>
      <c r="C167">
        <v>1</v>
      </c>
      <c r="D167">
        <v>41130</v>
      </c>
      <c r="E167">
        <v>11810</v>
      </c>
      <c r="F167" t="s">
        <v>86</v>
      </c>
      <c r="G167" t="s">
        <v>244</v>
      </c>
      <c r="H167" t="s">
        <v>160</v>
      </c>
      <c r="I167" t="s">
        <v>235</v>
      </c>
      <c r="J167">
        <v>37.271895000000001</v>
      </c>
      <c r="K167">
        <v>-6.0594279999999996</v>
      </c>
    </row>
    <row r="168" spans="1:11" x14ac:dyDescent="0.3">
      <c r="A168">
        <v>4108001</v>
      </c>
      <c r="B168" t="s">
        <v>479</v>
      </c>
      <c r="C168">
        <v>1</v>
      </c>
      <c r="D168">
        <v>41250</v>
      </c>
      <c r="E168">
        <v>1528</v>
      </c>
      <c r="F168" t="s">
        <v>94</v>
      </c>
      <c r="G168" t="s">
        <v>364</v>
      </c>
      <c r="H168" t="s">
        <v>203</v>
      </c>
      <c r="I168" t="s">
        <v>98</v>
      </c>
      <c r="J168">
        <v>37.949371999999997</v>
      </c>
      <c r="K168">
        <v>-6.149718</v>
      </c>
    </row>
    <row r="169" spans="1:11" x14ac:dyDescent="0.3">
      <c r="A169">
        <v>4108002</v>
      </c>
      <c r="B169" t="s">
        <v>479</v>
      </c>
      <c r="C169">
        <v>2</v>
      </c>
      <c r="D169">
        <v>41250</v>
      </c>
      <c r="E169">
        <v>4</v>
      </c>
      <c r="F169" t="s">
        <v>94</v>
      </c>
      <c r="G169" t="s">
        <v>364</v>
      </c>
      <c r="H169" t="s">
        <v>203</v>
      </c>
      <c r="I169" t="s">
        <v>98</v>
      </c>
      <c r="J169">
        <v>37.950546000000003</v>
      </c>
      <c r="K169">
        <v>-6.0503840000000002</v>
      </c>
    </row>
    <row r="170" spans="1:11" x14ac:dyDescent="0.3">
      <c r="A170">
        <v>4108101</v>
      </c>
      <c r="B170" t="s">
        <v>512</v>
      </c>
      <c r="C170">
        <v>1</v>
      </c>
      <c r="D170">
        <v>41309</v>
      </c>
      <c r="E170">
        <v>10695</v>
      </c>
      <c r="F170" t="s">
        <v>99</v>
      </c>
      <c r="G170" t="s">
        <v>203</v>
      </c>
      <c r="H170" t="s">
        <v>387</v>
      </c>
      <c r="I170" t="s">
        <v>376</v>
      </c>
      <c r="J170">
        <v>37.485522000000003</v>
      </c>
      <c r="K170">
        <v>-5.9862840000000004</v>
      </c>
    </row>
    <row r="171" spans="1:11" x14ac:dyDescent="0.3">
      <c r="A171">
        <v>4108102</v>
      </c>
      <c r="B171" t="s">
        <v>512</v>
      </c>
      <c r="C171">
        <v>2</v>
      </c>
      <c r="D171">
        <v>41300</v>
      </c>
      <c r="E171">
        <v>29258</v>
      </c>
      <c r="F171" t="s">
        <v>99</v>
      </c>
      <c r="G171" t="s">
        <v>168</v>
      </c>
      <c r="H171" t="s">
        <v>364</v>
      </c>
      <c r="I171" t="s">
        <v>235</v>
      </c>
      <c r="J171">
        <v>37.477600000000002</v>
      </c>
      <c r="K171">
        <v>-5.9449949999999996</v>
      </c>
    </row>
    <row r="172" spans="1:11" x14ac:dyDescent="0.3">
      <c r="A172">
        <v>4108201</v>
      </c>
      <c r="B172" t="s">
        <v>513</v>
      </c>
      <c r="C172">
        <v>1</v>
      </c>
      <c r="D172">
        <v>41590</v>
      </c>
      <c r="E172">
        <v>4173</v>
      </c>
      <c r="F172" t="s">
        <v>90</v>
      </c>
      <c r="G172" t="s">
        <v>216</v>
      </c>
      <c r="H172" t="s">
        <v>181</v>
      </c>
      <c r="I172" t="s">
        <v>98</v>
      </c>
      <c r="J172">
        <v>37.193809999999999</v>
      </c>
      <c r="K172">
        <v>-4.7808200000000003</v>
      </c>
    </row>
    <row r="173" spans="1:11" x14ac:dyDescent="0.3">
      <c r="A173">
        <v>4108301</v>
      </c>
      <c r="B173" t="s">
        <v>514</v>
      </c>
      <c r="C173">
        <v>1</v>
      </c>
      <c r="D173">
        <v>41880</v>
      </c>
      <c r="E173">
        <v>1409</v>
      </c>
      <c r="F173" t="s">
        <v>86</v>
      </c>
      <c r="G173" t="s">
        <v>238</v>
      </c>
      <c r="H173" t="s">
        <v>274</v>
      </c>
      <c r="I173" t="s">
        <v>102</v>
      </c>
      <c r="J173">
        <v>37.748531999999997</v>
      </c>
      <c r="K173">
        <v>-6.1785620000000003</v>
      </c>
    </row>
    <row r="174" spans="1:11" x14ac:dyDescent="0.3">
      <c r="A174">
        <v>4108401</v>
      </c>
      <c r="B174" t="s">
        <v>515</v>
      </c>
      <c r="C174">
        <v>1</v>
      </c>
      <c r="D174">
        <v>41568</v>
      </c>
      <c r="E174">
        <v>2113</v>
      </c>
      <c r="F174" t="s">
        <v>86</v>
      </c>
      <c r="G174" t="s">
        <v>151</v>
      </c>
      <c r="H174" t="s">
        <v>120</v>
      </c>
      <c r="I174" t="s">
        <v>98</v>
      </c>
      <c r="J174">
        <v>37.350968000000002</v>
      </c>
      <c r="K174">
        <v>-4.9924679999999997</v>
      </c>
    </row>
    <row r="175" spans="1:11" x14ac:dyDescent="0.3">
      <c r="A175">
        <v>4108402</v>
      </c>
      <c r="B175" t="s">
        <v>515</v>
      </c>
      <c r="C175">
        <v>2</v>
      </c>
      <c r="D175">
        <v>41568</v>
      </c>
      <c r="E175">
        <v>1189</v>
      </c>
      <c r="F175" t="s">
        <v>86</v>
      </c>
      <c r="G175" t="s">
        <v>364</v>
      </c>
      <c r="H175" t="s">
        <v>395</v>
      </c>
      <c r="I175" t="s">
        <v>93</v>
      </c>
      <c r="J175">
        <v>37.344749999999998</v>
      </c>
      <c r="K175">
        <v>-5.0123689999999996</v>
      </c>
    </row>
    <row r="176" spans="1:11" x14ac:dyDescent="0.3">
      <c r="A176">
        <v>4108501</v>
      </c>
      <c r="B176" t="s">
        <v>480</v>
      </c>
      <c r="C176">
        <v>1</v>
      </c>
      <c r="D176">
        <v>41809</v>
      </c>
      <c r="E176">
        <v>5591</v>
      </c>
      <c r="F176" t="s">
        <v>390</v>
      </c>
      <c r="G176" t="s">
        <v>146</v>
      </c>
      <c r="H176" t="s">
        <v>149</v>
      </c>
      <c r="I176" t="s">
        <v>357</v>
      </c>
      <c r="J176">
        <v>37.411034999999998</v>
      </c>
      <c r="K176">
        <v>-6.1190939999999996</v>
      </c>
    </row>
    <row r="177" spans="1:11" x14ac:dyDescent="0.3">
      <c r="A177">
        <v>4108601</v>
      </c>
      <c r="B177" t="s">
        <v>481</v>
      </c>
      <c r="C177">
        <v>1</v>
      </c>
      <c r="D177">
        <v>41920</v>
      </c>
      <c r="E177">
        <v>2263</v>
      </c>
      <c r="F177" t="s">
        <v>86</v>
      </c>
      <c r="G177" t="s">
        <v>103</v>
      </c>
      <c r="H177" t="s">
        <v>365</v>
      </c>
      <c r="I177" t="s">
        <v>89</v>
      </c>
      <c r="J177">
        <v>37.367646999999998</v>
      </c>
      <c r="K177">
        <v>-6.0303519999999997</v>
      </c>
    </row>
    <row r="178" spans="1:11" x14ac:dyDescent="0.3">
      <c r="A178">
        <v>4108602</v>
      </c>
      <c r="B178" t="s">
        <v>481</v>
      </c>
      <c r="C178">
        <v>2</v>
      </c>
      <c r="D178">
        <v>41920</v>
      </c>
      <c r="E178">
        <v>3895</v>
      </c>
      <c r="F178" t="s">
        <v>173</v>
      </c>
      <c r="G178" t="s">
        <v>374</v>
      </c>
      <c r="H178" t="s">
        <v>266</v>
      </c>
      <c r="I178" t="s">
        <v>161</v>
      </c>
      <c r="J178">
        <v>37.364344000000003</v>
      </c>
      <c r="K178">
        <v>-6.0257540000000001</v>
      </c>
    </row>
    <row r="179" spans="1:11" x14ac:dyDescent="0.3">
      <c r="A179">
        <v>4108603</v>
      </c>
      <c r="B179" t="s">
        <v>481</v>
      </c>
      <c r="C179">
        <v>3</v>
      </c>
      <c r="D179">
        <v>41920</v>
      </c>
      <c r="E179">
        <v>9471</v>
      </c>
      <c r="F179" t="s">
        <v>86</v>
      </c>
      <c r="G179" t="s">
        <v>242</v>
      </c>
      <c r="H179" t="s">
        <v>128</v>
      </c>
      <c r="I179" t="s">
        <v>161</v>
      </c>
      <c r="J179">
        <v>37.360376000000002</v>
      </c>
      <c r="K179">
        <v>-6.032896</v>
      </c>
    </row>
    <row r="180" spans="1:11" x14ac:dyDescent="0.3">
      <c r="A180">
        <v>4108604</v>
      </c>
      <c r="B180" t="s">
        <v>481</v>
      </c>
      <c r="C180">
        <v>4</v>
      </c>
      <c r="D180">
        <v>41920</v>
      </c>
      <c r="E180">
        <v>7327</v>
      </c>
      <c r="F180" t="s">
        <v>211</v>
      </c>
      <c r="G180" t="s">
        <v>87</v>
      </c>
      <c r="H180" t="s">
        <v>181</v>
      </c>
      <c r="I180" t="s">
        <v>98</v>
      </c>
      <c r="J180">
        <v>37.358915000000003</v>
      </c>
      <c r="K180">
        <v>-6.0323019999999996</v>
      </c>
    </row>
    <row r="181" spans="1:11" x14ac:dyDescent="0.3">
      <c r="A181">
        <v>4108801</v>
      </c>
      <c r="B181" t="s">
        <v>482</v>
      </c>
      <c r="C181">
        <v>1</v>
      </c>
      <c r="D181">
        <v>41388</v>
      </c>
      <c r="E181">
        <v>599</v>
      </c>
      <c r="F181" t="s">
        <v>115</v>
      </c>
      <c r="G181" t="s">
        <v>409</v>
      </c>
      <c r="H181" t="s">
        <v>199</v>
      </c>
      <c r="I181" t="s">
        <v>107</v>
      </c>
      <c r="J181">
        <v>37.980468999999999</v>
      </c>
      <c r="K181">
        <v>-5.6318080000000004</v>
      </c>
    </row>
    <row r="182" spans="1:11" x14ac:dyDescent="0.3">
      <c r="A182">
        <v>4108701</v>
      </c>
      <c r="B182" t="s">
        <v>483</v>
      </c>
      <c r="C182">
        <v>1</v>
      </c>
      <c r="D182">
        <v>41800</v>
      </c>
      <c r="E182">
        <v>7544</v>
      </c>
      <c r="F182" t="s">
        <v>133</v>
      </c>
      <c r="G182" t="s">
        <v>117</v>
      </c>
      <c r="H182" t="s">
        <v>204</v>
      </c>
      <c r="I182" t="s">
        <v>235</v>
      </c>
      <c r="J182">
        <v>37.386113999999999</v>
      </c>
      <c r="K182">
        <v>-6.2062179999999998</v>
      </c>
    </row>
    <row r="183" spans="1:11" x14ac:dyDescent="0.3">
      <c r="A183">
        <v>4108702</v>
      </c>
      <c r="B183" t="s">
        <v>483</v>
      </c>
      <c r="C183">
        <v>2</v>
      </c>
      <c r="D183">
        <v>41800</v>
      </c>
      <c r="E183">
        <v>6719</v>
      </c>
      <c r="F183" t="s">
        <v>133</v>
      </c>
      <c r="G183" t="s">
        <v>223</v>
      </c>
      <c r="H183" t="s">
        <v>201</v>
      </c>
      <c r="I183" t="s">
        <v>235</v>
      </c>
      <c r="J183">
        <v>37.386799000000003</v>
      </c>
      <c r="K183">
        <v>-6.1959910000000002</v>
      </c>
    </row>
    <row r="184" spans="1:11" x14ac:dyDescent="0.3">
      <c r="A184">
        <v>4108901</v>
      </c>
      <c r="B184" t="s">
        <v>484</v>
      </c>
      <c r="C184">
        <v>1</v>
      </c>
      <c r="D184">
        <v>41970</v>
      </c>
      <c r="E184">
        <v>1542</v>
      </c>
      <c r="F184" t="s">
        <v>163</v>
      </c>
      <c r="G184" t="s">
        <v>162</v>
      </c>
      <c r="H184" t="s">
        <v>116</v>
      </c>
      <c r="I184" t="s">
        <v>161</v>
      </c>
      <c r="J184">
        <v>37.444901000000002</v>
      </c>
      <c r="K184">
        <v>-6.0493300000000003</v>
      </c>
    </row>
    <row r="185" spans="1:11" x14ac:dyDescent="0.3">
      <c r="A185">
        <v>4108902</v>
      </c>
      <c r="B185" t="s">
        <v>484</v>
      </c>
      <c r="C185">
        <v>2</v>
      </c>
      <c r="D185">
        <v>41970</v>
      </c>
      <c r="E185">
        <v>7031</v>
      </c>
      <c r="F185" t="s">
        <v>133</v>
      </c>
      <c r="G185" t="s">
        <v>223</v>
      </c>
      <c r="H185" t="s">
        <v>177</v>
      </c>
      <c r="I185" t="s">
        <v>357</v>
      </c>
      <c r="J185">
        <v>37.426673000000001</v>
      </c>
      <c r="K185">
        <v>-6.0148869999999999</v>
      </c>
    </row>
    <row r="186" spans="1:11" x14ac:dyDescent="0.3">
      <c r="A186">
        <v>4109001</v>
      </c>
      <c r="B186" t="s">
        <v>516</v>
      </c>
      <c r="C186">
        <v>1</v>
      </c>
      <c r="D186">
        <v>41650</v>
      </c>
      <c r="E186">
        <v>4205</v>
      </c>
      <c r="F186" t="s">
        <v>94</v>
      </c>
      <c r="G186" t="s">
        <v>95</v>
      </c>
      <c r="H186" t="s">
        <v>263</v>
      </c>
      <c r="I186" t="s">
        <v>89</v>
      </c>
      <c r="J186">
        <v>37.074440000000003</v>
      </c>
      <c r="K186">
        <v>-5.094894</v>
      </c>
    </row>
    <row r="187" spans="1:11" x14ac:dyDescent="0.3">
      <c r="A187">
        <v>4109101</v>
      </c>
      <c r="B187" t="s">
        <v>485</v>
      </c>
      <c r="C187">
        <v>1</v>
      </c>
      <c r="D187">
        <v>41001</v>
      </c>
      <c r="E187">
        <v>53547</v>
      </c>
      <c r="F187" t="s">
        <v>410</v>
      </c>
      <c r="G187" t="s">
        <v>220</v>
      </c>
      <c r="H187" t="s">
        <v>180</v>
      </c>
      <c r="I187" t="s">
        <v>102</v>
      </c>
      <c r="J187">
        <v>37.394089000000001</v>
      </c>
      <c r="K187">
        <v>-5.9865089999999999</v>
      </c>
    </row>
    <row r="188" spans="1:11" x14ac:dyDescent="0.3">
      <c r="A188">
        <v>4109102</v>
      </c>
      <c r="B188" t="s">
        <v>485</v>
      </c>
      <c r="C188">
        <v>2</v>
      </c>
      <c r="D188">
        <v>41003</v>
      </c>
      <c r="E188">
        <v>73581</v>
      </c>
      <c r="F188" t="s">
        <v>133</v>
      </c>
      <c r="G188" t="s">
        <v>121</v>
      </c>
      <c r="H188" t="s">
        <v>124</v>
      </c>
      <c r="I188" t="s">
        <v>89</v>
      </c>
      <c r="J188">
        <v>37.405158999999998</v>
      </c>
      <c r="K188">
        <v>-5.9910129999999997</v>
      </c>
    </row>
    <row r="189" spans="1:11" x14ac:dyDescent="0.3">
      <c r="A189">
        <v>4109103</v>
      </c>
      <c r="B189" t="s">
        <v>485</v>
      </c>
      <c r="C189">
        <v>3</v>
      </c>
      <c r="D189">
        <v>41013</v>
      </c>
      <c r="E189">
        <v>50162</v>
      </c>
      <c r="F189" t="s">
        <v>411</v>
      </c>
      <c r="G189" t="s">
        <v>111</v>
      </c>
      <c r="H189" t="s">
        <v>122</v>
      </c>
      <c r="I189" t="s">
        <v>98</v>
      </c>
      <c r="J189">
        <v>37.390478000000002</v>
      </c>
      <c r="K189">
        <v>-5.9828520000000003</v>
      </c>
    </row>
    <row r="190" spans="1:11" x14ac:dyDescent="0.3">
      <c r="A190">
        <v>4109104</v>
      </c>
      <c r="B190" t="s">
        <v>485</v>
      </c>
      <c r="C190">
        <v>4</v>
      </c>
      <c r="D190">
        <v>41010</v>
      </c>
      <c r="E190">
        <v>88584</v>
      </c>
      <c r="F190" t="s">
        <v>94</v>
      </c>
      <c r="G190" t="s">
        <v>113</v>
      </c>
      <c r="H190" t="s">
        <v>118</v>
      </c>
      <c r="I190" t="s">
        <v>161</v>
      </c>
      <c r="J190">
        <v>37.386097999999997</v>
      </c>
      <c r="K190">
        <v>-5.956188</v>
      </c>
    </row>
    <row r="191" spans="1:11" x14ac:dyDescent="0.3">
      <c r="A191">
        <v>4109105</v>
      </c>
      <c r="B191" t="s">
        <v>485</v>
      </c>
      <c r="C191">
        <v>5</v>
      </c>
      <c r="D191">
        <v>41007</v>
      </c>
      <c r="E191">
        <v>67859</v>
      </c>
      <c r="F191" t="s">
        <v>110</v>
      </c>
      <c r="G191" t="s">
        <v>164</v>
      </c>
      <c r="H191" t="s">
        <v>391</v>
      </c>
      <c r="I191" t="s">
        <v>161</v>
      </c>
      <c r="J191">
        <v>37.377673000000001</v>
      </c>
      <c r="K191">
        <v>-5.9803119999999996</v>
      </c>
    </row>
    <row r="192" spans="1:11" x14ac:dyDescent="0.3">
      <c r="A192">
        <v>4109106</v>
      </c>
      <c r="B192" t="s">
        <v>485</v>
      </c>
      <c r="C192">
        <v>6</v>
      </c>
      <c r="D192">
        <v>41006</v>
      </c>
      <c r="E192">
        <v>45981</v>
      </c>
      <c r="F192" t="s">
        <v>403</v>
      </c>
      <c r="G192" t="s">
        <v>100</v>
      </c>
      <c r="H192" t="s">
        <v>122</v>
      </c>
      <c r="I192" t="s">
        <v>93</v>
      </c>
      <c r="J192">
        <v>37.381034999999997</v>
      </c>
      <c r="K192">
        <v>-5.9986689999999996</v>
      </c>
    </row>
    <row r="193" spans="1:11" x14ac:dyDescent="0.3">
      <c r="A193">
        <v>4109107</v>
      </c>
      <c r="B193" t="s">
        <v>485</v>
      </c>
      <c r="C193">
        <v>7</v>
      </c>
      <c r="D193">
        <v>41012</v>
      </c>
      <c r="E193">
        <v>70210</v>
      </c>
      <c r="F193" t="s">
        <v>99</v>
      </c>
      <c r="G193" t="s">
        <v>111</v>
      </c>
      <c r="H193" t="s">
        <v>146</v>
      </c>
      <c r="I193" t="s">
        <v>161</v>
      </c>
      <c r="J193">
        <v>37.403975000000003</v>
      </c>
      <c r="K193">
        <v>-5.9654790000000002</v>
      </c>
    </row>
    <row r="194" spans="1:11" x14ac:dyDescent="0.3">
      <c r="A194">
        <v>4109108</v>
      </c>
      <c r="B194" t="s">
        <v>485</v>
      </c>
      <c r="C194">
        <v>8</v>
      </c>
      <c r="D194">
        <v>41020</v>
      </c>
      <c r="E194">
        <v>58177</v>
      </c>
      <c r="F194" t="s">
        <v>186</v>
      </c>
      <c r="G194" t="s">
        <v>121</v>
      </c>
      <c r="H194" t="s">
        <v>129</v>
      </c>
      <c r="I194" t="s">
        <v>89</v>
      </c>
      <c r="J194">
        <v>37.388187000000002</v>
      </c>
      <c r="K194">
        <v>-5.9678740000000001</v>
      </c>
    </row>
    <row r="195" spans="1:11" x14ac:dyDescent="0.3">
      <c r="A195">
        <v>4109109</v>
      </c>
      <c r="B195" t="s">
        <v>485</v>
      </c>
      <c r="C195">
        <v>9</v>
      </c>
      <c r="D195">
        <v>41011</v>
      </c>
      <c r="E195">
        <v>105565</v>
      </c>
      <c r="F195" t="s">
        <v>110</v>
      </c>
      <c r="G195" t="s">
        <v>244</v>
      </c>
      <c r="H195" t="s">
        <v>179</v>
      </c>
      <c r="I195" t="s">
        <v>235</v>
      </c>
      <c r="J195">
        <v>37.379961999999999</v>
      </c>
      <c r="K195">
        <v>-5.9091240000000003</v>
      </c>
    </row>
    <row r="196" spans="1:11" x14ac:dyDescent="0.3">
      <c r="A196">
        <v>4109110</v>
      </c>
      <c r="B196" t="s">
        <v>485</v>
      </c>
      <c r="C196">
        <v>10</v>
      </c>
      <c r="D196">
        <v>41008</v>
      </c>
      <c r="E196">
        <v>41368</v>
      </c>
      <c r="F196" t="s">
        <v>403</v>
      </c>
      <c r="G196" t="s">
        <v>167</v>
      </c>
      <c r="H196" t="s">
        <v>151</v>
      </c>
      <c r="I196" t="s">
        <v>235</v>
      </c>
      <c r="J196">
        <v>37.324478999999997</v>
      </c>
      <c r="K196">
        <v>-5.9705599999999999</v>
      </c>
    </row>
    <row r="197" spans="1:11" x14ac:dyDescent="0.3">
      <c r="A197">
        <v>4109111</v>
      </c>
      <c r="B197" t="s">
        <v>485</v>
      </c>
      <c r="C197">
        <v>11</v>
      </c>
      <c r="D197">
        <v>41015</v>
      </c>
      <c r="E197">
        <v>25339</v>
      </c>
      <c r="F197" t="s">
        <v>412</v>
      </c>
      <c r="G197" t="s">
        <v>97</v>
      </c>
      <c r="H197" t="s">
        <v>385</v>
      </c>
      <c r="I197" t="s">
        <v>161</v>
      </c>
      <c r="J197">
        <v>37.344330999999997</v>
      </c>
      <c r="K197">
        <v>-6.008076</v>
      </c>
    </row>
    <row r="198" spans="1:11" x14ac:dyDescent="0.3">
      <c r="A198">
        <v>4109201</v>
      </c>
      <c r="B198" t="s">
        <v>486</v>
      </c>
      <c r="C198">
        <v>1</v>
      </c>
      <c r="D198">
        <v>41340</v>
      </c>
      <c r="E198">
        <v>4672</v>
      </c>
      <c r="F198" t="s">
        <v>90</v>
      </c>
      <c r="G198" t="s">
        <v>87</v>
      </c>
      <c r="H198" t="s">
        <v>244</v>
      </c>
      <c r="I198" t="s">
        <v>98</v>
      </c>
      <c r="J198">
        <v>37.590038</v>
      </c>
      <c r="K198">
        <v>-5.7167149999999998</v>
      </c>
    </row>
    <row r="199" spans="1:11" x14ac:dyDescent="0.3">
      <c r="A199">
        <v>4109202</v>
      </c>
      <c r="B199" t="s">
        <v>486</v>
      </c>
      <c r="C199">
        <v>2</v>
      </c>
      <c r="D199">
        <v>41340</v>
      </c>
      <c r="E199">
        <v>4696</v>
      </c>
      <c r="F199" t="s">
        <v>90</v>
      </c>
      <c r="G199" t="s">
        <v>97</v>
      </c>
      <c r="H199" t="s">
        <v>118</v>
      </c>
      <c r="I199" t="s">
        <v>161</v>
      </c>
      <c r="J199">
        <v>37.608373999999998</v>
      </c>
      <c r="K199">
        <v>-5.7345750000000004</v>
      </c>
    </row>
    <row r="200" spans="1:11" x14ac:dyDescent="0.3">
      <c r="A200">
        <v>4109301</v>
      </c>
      <c r="B200" t="s">
        <v>487</v>
      </c>
      <c r="C200">
        <v>1</v>
      </c>
      <c r="D200">
        <v>41940</v>
      </c>
      <c r="E200">
        <v>25537</v>
      </c>
      <c r="F200" t="s">
        <v>413</v>
      </c>
      <c r="G200" t="s">
        <v>246</v>
      </c>
      <c r="H200" t="s">
        <v>111</v>
      </c>
      <c r="I200" t="s">
        <v>357</v>
      </c>
      <c r="J200">
        <v>37.375951999999998</v>
      </c>
      <c r="K200">
        <v>-6.0482750000000003</v>
      </c>
    </row>
    <row r="201" spans="1:11" x14ac:dyDescent="0.3">
      <c r="A201">
        <v>4109401</v>
      </c>
      <c r="B201" t="s">
        <v>488</v>
      </c>
      <c r="C201">
        <v>1</v>
      </c>
      <c r="D201">
        <v>41806</v>
      </c>
      <c r="E201">
        <v>5616</v>
      </c>
      <c r="F201" t="s">
        <v>99</v>
      </c>
      <c r="G201" t="s">
        <v>362</v>
      </c>
      <c r="H201" t="s">
        <v>232</v>
      </c>
      <c r="I201" t="s">
        <v>376</v>
      </c>
      <c r="J201">
        <v>37.374192999999998</v>
      </c>
      <c r="K201">
        <v>-6.157826</v>
      </c>
    </row>
    <row r="202" spans="1:11" x14ac:dyDescent="0.3">
      <c r="A202">
        <v>4109402</v>
      </c>
      <c r="B202" t="s">
        <v>488</v>
      </c>
      <c r="C202">
        <v>2</v>
      </c>
      <c r="D202">
        <v>41806</v>
      </c>
      <c r="E202">
        <v>3779</v>
      </c>
      <c r="F202" t="s">
        <v>133</v>
      </c>
      <c r="G202" t="s">
        <v>97</v>
      </c>
      <c r="H202" t="s">
        <v>255</v>
      </c>
      <c r="I202" t="s">
        <v>235</v>
      </c>
      <c r="J202">
        <v>37.369712</v>
      </c>
      <c r="K202">
        <v>-6.1540800000000004</v>
      </c>
    </row>
    <row r="203" spans="1:11" x14ac:dyDescent="0.3">
      <c r="A203">
        <v>4109501</v>
      </c>
      <c r="B203" t="s">
        <v>489</v>
      </c>
      <c r="C203">
        <v>1</v>
      </c>
      <c r="D203">
        <v>41710</v>
      </c>
      <c r="E203">
        <v>12603</v>
      </c>
      <c r="F203" t="s">
        <v>133</v>
      </c>
      <c r="G203" t="s">
        <v>134</v>
      </c>
      <c r="H203" t="s">
        <v>202</v>
      </c>
      <c r="I203" t="s">
        <v>161</v>
      </c>
      <c r="J203">
        <v>37.183644999999999</v>
      </c>
      <c r="K203">
        <v>-5.7806139999999999</v>
      </c>
    </row>
    <row r="204" spans="1:11" x14ac:dyDescent="0.3">
      <c r="A204">
        <v>4109502</v>
      </c>
      <c r="B204" t="s">
        <v>489</v>
      </c>
      <c r="C204">
        <v>2</v>
      </c>
      <c r="D204">
        <v>41710</v>
      </c>
      <c r="E204">
        <v>7809</v>
      </c>
      <c r="F204" t="s">
        <v>133</v>
      </c>
      <c r="G204" t="s">
        <v>120</v>
      </c>
      <c r="H204" t="s">
        <v>164</v>
      </c>
      <c r="I204" t="s">
        <v>235</v>
      </c>
      <c r="J204">
        <v>37.179991000000001</v>
      </c>
      <c r="K204">
        <v>-5.7786179999999998</v>
      </c>
    </row>
    <row r="205" spans="1:11" x14ac:dyDescent="0.3">
      <c r="A205">
        <v>4109503</v>
      </c>
      <c r="B205" t="s">
        <v>489</v>
      </c>
      <c r="C205">
        <v>3</v>
      </c>
      <c r="D205">
        <v>41710</v>
      </c>
      <c r="E205">
        <v>9358</v>
      </c>
      <c r="F205" t="s">
        <v>90</v>
      </c>
      <c r="G205" t="s">
        <v>120</v>
      </c>
      <c r="H205" t="s">
        <v>160</v>
      </c>
      <c r="I205" t="s">
        <v>235</v>
      </c>
      <c r="J205">
        <v>37.180281999999998</v>
      </c>
      <c r="K205">
        <v>-5.7828840000000001</v>
      </c>
    </row>
    <row r="206" spans="1:11" x14ac:dyDescent="0.3">
      <c r="A206">
        <v>4109504</v>
      </c>
      <c r="B206" t="s">
        <v>489</v>
      </c>
      <c r="C206">
        <v>4</v>
      </c>
      <c r="D206">
        <v>41710</v>
      </c>
      <c r="E206">
        <v>3741</v>
      </c>
      <c r="F206" t="s">
        <v>99</v>
      </c>
      <c r="G206" t="s">
        <v>355</v>
      </c>
      <c r="H206" t="s">
        <v>121</v>
      </c>
      <c r="I206" t="s">
        <v>235</v>
      </c>
      <c r="J206">
        <v>37.190975000000002</v>
      </c>
      <c r="K206">
        <v>-5.7810079999999999</v>
      </c>
    </row>
    <row r="207" spans="1:11" x14ac:dyDescent="0.3">
      <c r="A207">
        <v>4109505</v>
      </c>
      <c r="B207" t="s">
        <v>489</v>
      </c>
      <c r="C207">
        <v>5</v>
      </c>
      <c r="D207">
        <v>41710</v>
      </c>
      <c r="E207">
        <v>18502</v>
      </c>
      <c r="F207" t="s">
        <v>90</v>
      </c>
      <c r="G207" t="s">
        <v>192</v>
      </c>
      <c r="H207" t="s">
        <v>125</v>
      </c>
      <c r="I207" t="s">
        <v>357</v>
      </c>
      <c r="J207">
        <v>37.168532999999996</v>
      </c>
      <c r="K207">
        <v>-5.7975589999999997</v>
      </c>
    </row>
    <row r="208" spans="1:11" x14ac:dyDescent="0.3">
      <c r="A208">
        <v>4109601</v>
      </c>
      <c r="B208" t="s">
        <v>490</v>
      </c>
      <c r="C208">
        <v>1</v>
      </c>
      <c r="D208">
        <v>41907</v>
      </c>
      <c r="E208">
        <v>8072</v>
      </c>
      <c r="F208" t="s">
        <v>389</v>
      </c>
      <c r="G208" t="s">
        <v>95</v>
      </c>
      <c r="H208" t="s">
        <v>244</v>
      </c>
      <c r="I208" t="s">
        <v>357</v>
      </c>
      <c r="J208">
        <v>37.415661999999998</v>
      </c>
      <c r="K208">
        <v>-6.0603129999999998</v>
      </c>
    </row>
    <row r="209" spans="1:11" x14ac:dyDescent="0.3">
      <c r="A209">
        <v>4109701</v>
      </c>
      <c r="B209" t="s">
        <v>491</v>
      </c>
      <c r="C209">
        <v>1</v>
      </c>
      <c r="D209">
        <v>41840</v>
      </c>
      <c r="E209">
        <v>2320</v>
      </c>
      <c r="F209" t="s">
        <v>86</v>
      </c>
      <c r="G209" t="s">
        <v>148</v>
      </c>
      <c r="H209" t="s">
        <v>239</v>
      </c>
      <c r="I209" t="s">
        <v>161</v>
      </c>
      <c r="J209">
        <v>37.249276000000002</v>
      </c>
      <c r="K209">
        <v>-6.3299339999999997</v>
      </c>
    </row>
    <row r="210" spans="1:11" x14ac:dyDescent="0.3">
      <c r="A210">
        <v>4109702</v>
      </c>
      <c r="B210" t="s">
        <v>491</v>
      </c>
      <c r="C210">
        <v>2</v>
      </c>
      <c r="D210">
        <v>41840</v>
      </c>
      <c r="E210">
        <v>2322</v>
      </c>
      <c r="F210" t="s">
        <v>115</v>
      </c>
      <c r="G210" t="s">
        <v>120</v>
      </c>
      <c r="H210" t="s">
        <v>116</v>
      </c>
      <c r="I210" t="s">
        <v>161</v>
      </c>
      <c r="J210">
        <v>37.216338999999998</v>
      </c>
      <c r="K210">
        <v>-6.3128960000000003</v>
      </c>
    </row>
    <row r="211" spans="1:11" x14ac:dyDescent="0.3">
      <c r="A211">
        <v>4110001</v>
      </c>
      <c r="B211" t="s">
        <v>492</v>
      </c>
      <c r="C211">
        <v>1</v>
      </c>
      <c r="D211">
        <v>41660</v>
      </c>
      <c r="E211">
        <v>1002</v>
      </c>
      <c r="F211" t="s">
        <v>115</v>
      </c>
      <c r="G211" t="s">
        <v>136</v>
      </c>
      <c r="H211" t="s">
        <v>395</v>
      </c>
      <c r="I211" t="s">
        <v>107</v>
      </c>
      <c r="J211">
        <v>37.071672</v>
      </c>
      <c r="K211">
        <v>-5.1854120000000004</v>
      </c>
    </row>
    <row r="212" spans="1:11" x14ac:dyDescent="0.3">
      <c r="A212">
        <v>4109801</v>
      </c>
      <c r="B212" t="s">
        <v>493</v>
      </c>
      <c r="C212">
        <v>1</v>
      </c>
      <c r="D212">
        <v>41808</v>
      </c>
      <c r="E212">
        <v>6933</v>
      </c>
      <c r="F212" t="s">
        <v>90</v>
      </c>
      <c r="G212" t="s">
        <v>118</v>
      </c>
      <c r="H212" t="s">
        <v>177</v>
      </c>
      <c r="I212" t="s">
        <v>357</v>
      </c>
      <c r="J212">
        <v>37.394832999999998</v>
      </c>
      <c r="K212">
        <v>-6.1390650000000004</v>
      </c>
    </row>
    <row r="213" spans="1:11" x14ac:dyDescent="0.3">
      <c r="A213">
        <v>4109901</v>
      </c>
      <c r="B213" t="s">
        <v>494</v>
      </c>
      <c r="C213">
        <v>1</v>
      </c>
      <c r="D213">
        <v>41350</v>
      </c>
      <c r="E213">
        <v>1728</v>
      </c>
      <c r="F213" t="s">
        <v>94</v>
      </c>
      <c r="G213" t="s">
        <v>113</v>
      </c>
      <c r="H213" t="s">
        <v>139</v>
      </c>
      <c r="I213" t="s">
        <v>89</v>
      </c>
      <c r="J213">
        <v>37.665930000000003</v>
      </c>
      <c r="K213">
        <v>-5.7170940000000003</v>
      </c>
    </row>
    <row r="214" spans="1:11" x14ac:dyDescent="0.3">
      <c r="A214">
        <v>4109902</v>
      </c>
      <c r="B214" t="s">
        <v>494</v>
      </c>
      <c r="C214">
        <v>2</v>
      </c>
      <c r="D214">
        <v>41350</v>
      </c>
      <c r="E214">
        <v>1665</v>
      </c>
      <c r="F214" t="s">
        <v>115</v>
      </c>
      <c r="G214" t="s">
        <v>369</v>
      </c>
      <c r="H214" t="s">
        <v>414</v>
      </c>
      <c r="I214" t="s">
        <v>89</v>
      </c>
      <c r="J214">
        <v>37.650466999999999</v>
      </c>
      <c r="K214">
        <v>-5.7169150000000002</v>
      </c>
    </row>
    <row r="215" spans="1:11" x14ac:dyDescent="0.3">
      <c r="A215">
        <v>4109903</v>
      </c>
      <c r="B215" t="s">
        <v>494</v>
      </c>
      <c r="C215">
        <v>3</v>
      </c>
      <c r="D215">
        <v>41350</v>
      </c>
      <c r="E215">
        <v>1651</v>
      </c>
      <c r="F215" t="s">
        <v>86</v>
      </c>
      <c r="G215" t="s">
        <v>201</v>
      </c>
      <c r="H215" t="s">
        <v>148</v>
      </c>
      <c r="I215" t="s">
        <v>93</v>
      </c>
      <c r="J215">
        <v>37.659773999999999</v>
      </c>
      <c r="K215">
        <v>-5.7147889999999997</v>
      </c>
    </row>
    <row r="216" spans="1:11" x14ac:dyDescent="0.3">
      <c r="A216">
        <v>4110101</v>
      </c>
      <c r="B216" t="s">
        <v>495</v>
      </c>
      <c r="C216">
        <v>1</v>
      </c>
      <c r="D216">
        <v>41318</v>
      </c>
      <c r="E216">
        <v>7741</v>
      </c>
      <c r="F216" t="s">
        <v>86</v>
      </c>
      <c r="G216" t="s">
        <v>244</v>
      </c>
      <c r="H216" t="s">
        <v>198</v>
      </c>
      <c r="I216" t="s">
        <v>357</v>
      </c>
      <c r="J216">
        <v>37.589503999999998</v>
      </c>
      <c r="K216">
        <v>-5.8719150000000004</v>
      </c>
    </row>
    <row r="217" spans="1:11" x14ac:dyDescent="0.3">
      <c r="A217">
        <v>4110201</v>
      </c>
      <c r="B217" t="s">
        <v>517</v>
      </c>
      <c r="C217">
        <v>1</v>
      </c>
      <c r="D217">
        <v>41520</v>
      </c>
      <c r="E217">
        <v>7198</v>
      </c>
      <c r="F217" t="s">
        <v>133</v>
      </c>
      <c r="G217" t="s">
        <v>104</v>
      </c>
      <c r="H217" t="s">
        <v>198</v>
      </c>
      <c r="I217" t="s">
        <v>376</v>
      </c>
      <c r="J217">
        <v>37.385826000000002</v>
      </c>
      <c r="K217">
        <v>-5.721635</v>
      </c>
    </row>
    <row r="218" spans="1:11" x14ac:dyDescent="0.3">
      <c r="A218">
        <v>4110202</v>
      </c>
      <c r="B218" t="s">
        <v>517</v>
      </c>
      <c r="C218">
        <v>2</v>
      </c>
      <c r="D218">
        <v>41520</v>
      </c>
      <c r="E218">
        <v>1726</v>
      </c>
      <c r="F218" t="s">
        <v>90</v>
      </c>
      <c r="G218" t="s">
        <v>147</v>
      </c>
      <c r="H218" t="s">
        <v>263</v>
      </c>
      <c r="I218" t="s">
        <v>357</v>
      </c>
      <c r="J218">
        <v>37.390895999999998</v>
      </c>
      <c r="K218">
        <v>-5.7134619999999998</v>
      </c>
    </row>
    <row r="219" spans="1:11" x14ac:dyDescent="0.3">
      <c r="A219">
        <v>4110203</v>
      </c>
      <c r="B219" t="s">
        <v>517</v>
      </c>
      <c r="C219">
        <v>3</v>
      </c>
      <c r="D219">
        <v>41520</v>
      </c>
      <c r="E219">
        <v>10358</v>
      </c>
      <c r="F219" t="s">
        <v>133</v>
      </c>
      <c r="G219" t="s">
        <v>370</v>
      </c>
      <c r="H219" t="s">
        <v>149</v>
      </c>
      <c r="I219" t="s">
        <v>358</v>
      </c>
      <c r="J219">
        <v>37.392296000000002</v>
      </c>
      <c r="K219">
        <v>-5.7203670000000004</v>
      </c>
    </row>
  </sheetData>
  <autoFilter ref="A1:I219" xr:uid="{AA9084BD-DC8B-4F47-8472-BECA0F32F07D}">
    <sortState xmlns:xlrd2="http://schemas.microsoft.com/office/spreadsheetml/2017/richdata2" ref="A2:I219">
      <sortCondition ref="B1:B21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62E07-1A61-4741-B97D-8CAE4A78FA51}">
  <dimension ref="A1:K129"/>
  <sheetViews>
    <sheetView workbookViewId="0">
      <selection activeCell="J129" sqref="J2:K129"/>
    </sheetView>
  </sheetViews>
  <sheetFormatPr baseColWidth="10" defaultRowHeight="14.4" x14ac:dyDescent="0.3"/>
  <sheetData>
    <row r="1" spans="1:11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82</v>
      </c>
      <c r="F1" s="4" t="s">
        <v>85</v>
      </c>
      <c r="G1" s="4" t="s">
        <v>83</v>
      </c>
      <c r="H1" s="4" t="s">
        <v>84</v>
      </c>
      <c r="I1" s="4" t="s">
        <v>81</v>
      </c>
    </row>
    <row r="2" spans="1:11" x14ac:dyDescent="0.3">
      <c r="A2">
        <v>1100101</v>
      </c>
      <c r="B2" t="s">
        <v>544</v>
      </c>
      <c r="C2">
        <v>1</v>
      </c>
      <c r="D2">
        <v>11180</v>
      </c>
      <c r="E2">
        <v>2595</v>
      </c>
      <c r="F2" t="s">
        <v>526</v>
      </c>
      <c r="G2">
        <v>13.9</v>
      </c>
      <c r="H2">
        <v>17.600000000000001</v>
      </c>
      <c r="I2">
        <v>2.4</v>
      </c>
      <c r="J2">
        <v>36.443765999999997</v>
      </c>
      <c r="K2">
        <v>-5.6938940000000002</v>
      </c>
    </row>
    <row r="3" spans="1:11" x14ac:dyDescent="0.3">
      <c r="A3">
        <v>1100102</v>
      </c>
      <c r="B3" t="s">
        <v>544</v>
      </c>
      <c r="C3">
        <v>2</v>
      </c>
      <c r="D3">
        <v>11180</v>
      </c>
      <c r="E3">
        <v>2602</v>
      </c>
      <c r="F3" t="s">
        <v>528</v>
      </c>
      <c r="G3">
        <v>16.2</v>
      </c>
      <c r="H3">
        <v>16.8</v>
      </c>
      <c r="I3">
        <v>2.6</v>
      </c>
      <c r="J3">
        <v>36.460413000000003</v>
      </c>
      <c r="K3">
        <v>-5.7282580000000003</v>
      </c>
    </row>
    <row r="4" spans="1:11" x14ac:dyDescent="0.3">
      <c r="A4">
        <v>1100201</v>
      </c>
      <c r="B4" t="s">
        <v>545</v>
      </c>
      <c r="C4">
        <v>1</v>
      </c>
      <c r="D4">
        <v>11693</v>
      </c>
      <c r="E4">
        <v>4896</v>
      </c>
      <c r="F4" t="s">
        <v>529</v>
      </c>
      <c r="G4">
        <v>15.2</v>
      </c>
      <c r="H4">
        <v>19.899999999999999</v>
      </c>
      <c r="I4">
        <v>2.6</v>
      </c>
      <c r="J4">
        <v>36.902569999999997</v>
      </c>
      <c r="K4">
        <v>-5.1702120000000003</v>
      </c>
    </row>
    <row r="5" spans="1:11" x14ac:dyDescent="0.3">
      <c r="A5">
        <v>1100301</v>
      </c>
      <c r="B5" t="s">
        <v>546</v>
      </c>
      <c r="C5">
        <v>1</v>
      </c>
      <c r="D5">
        <v>11639</v>
      </c>
      <c r="E5">
        <v>1445</v>
      </c>
      <c r="F5" t="s">
        <v>527</v>
      </c>
      <c r="G5">
        <v>16</v>
      </c>
      <c r="H5">
        <v>20.9</v>
      </c>
      <c r="I5">
        <v>2.2000000000000002</v>
      </c>
      <c r="J5">
        <v>36.655265</v>
      </c>
      <c r="K5">
        <v>-5.6442519999999998</v>
      </c>
    </row>
    <row r="6" spans="1:11" x14ac:dyDescent="0.3">
      <c r="A6">
        <v>1100401</v>
      </c>
      <c r="B6" t="s">
        <v>547</v>
      </c>
      <c r="C6">
        <v>1</v>
      </c>
      <c r="D6">
        <v>11201</v>
      </c>
      <c r="E6">
        <v>34238</v>
      </c>
      <c r="F6" t="s">
        <v>531</v>
      </c>
      <c r="G6">
        <v>17.3</v>
      </c>
      <c r="H6">
        <v>20.6</v>
      </c>
      <c r="I6">
        <v>2.5</v>
      </c>
      <c r="J6">
        <v>36.132022999999997</v>
      </c>
      <c r="K6">
        <v>-5.4484139999999996</v>
      </c>
    </row>
    <row r="7" spans="1:11" x14ac:dyDescent="0.3">
      <c r="A7">
        <v>1100402</v>
      </c>
      <c r="B7" t="s">
        <v>547</v>
      </c>
      <c r="C7">
        <v>2</v>
      </c>
      <c r="D7">
        <v>11201</v>
      </c>
      <c r="E7">
        <v>30751</v>
      </c>
      <c r="F7" t="s">
        <v>533</v>
      </c>
      <c r="G7">
        <v>20.3</v>
      </c>
      <c r="H7">
        <v>15.8</v>
      </c>
      <c r="I7">
        <v>2.8</v>
      </c>
      <c r="J7">
        <v>36.136837999999997</v>
      </c>
      <c r="K7">
        <v>-5.4400199999999996</v>
      </c>
    </row>
    <row r="8" spans="1:11" x14ac:dyDescent="0.3">
      <c r="A8">
        <v>1100403</v>
      </c>
      <c r="B8" t="s">
        <v>547</v>
      </c>
      <c r="C8">
        <v>3</v>
      </c>
      <c r="D8">
        <v>11201</v>
      </c>
      <c r="E8">
        <v>21828</v>
      </c>
      <c r="F8" t="s">
        <v>526</v>
      </c>
      <c r="G8">
        <v>19.8</v>
      </c>
      <c r="H8">
        <v>16.8</v>
      </c>
      <c r="I8">
        <v>2.7</v>
      </c>
      <c r="J8">
        <v>36.129221999999999</v>
      </c>
      <c r="K8">
        <v>-5.4489850000000004</v>
      </c>
    </row>
    <row r="9" spans="1:11" x14ac:dyDescent="0.3">
      <c r="A9">
        <v>1100404</v>
      </c>
      <c r="B9" t="s">
        <v>547</v>
      </c>
      <c r="C9">
        <v>4</v>
      </c>
      <c r="D9">
        <v>11201</v>
      </c>
      <c r="E9">
        <v>36663</v>
      </c>
      <c r="F9" t="s">
        <v>532</v>
      </c>
      <c r="G9">
        <v>20.5</v>
      </c>
      <c r="H9">
        <v>15.9</v>
      </c>
      <c r="I9">
        <v>2.7</v>
      </c>
      <c r="J9">
        <v>36.131509999999999</v>
      </c>
      <c r="K9">
        <v>-5.4507459999999996</v>
      </c>
    </row>
    <row r="10" spans="1:11" x14ac:dyDescent="0.3">
      <c r="A10">
        <v>1100501</v>
      </c>
      <c r="B10" t="s">
        <v>548</v>
      </c>
      <c r="C10">
        <v>1</v>
      </c>
      <c r="D10">
        <v>11680</v>
      </c>
      <c r="E10">
        <v>4486</v>
      </c>
      <c r="F10" t="s">
        <v>526</v>
      </c>
      <c r="G10">
        <v>14.4</v>
      </c>
      <c r="H10">
        <v>22.5</v>
      </c>
      <c r="I10">
        <v>2.2999999999999998</v>
      </c>
      <c r="J10">
        <v>36.877774000000002</v>
      </c>
      <c r="K10">
        <v>-5.409446</v>
      </c>
    </row>
    <row r="11" spans="1:11" x14ac:dyDescent="0.3">
      <c r="A11">
        <v>1100502</v>
      </c>
      <c r="B11" t="s">
        <v>548</v>
      </c>
      <c r="C11">
        <v>2</v>
      </c>
      <c r="D11">
        <v>11680</v>
      </c>
      <c r="E11">
        <v>925</v>
      </c>
      <c r="F11" t="s">
        <v>529</v>
      </c>
      <c r="G11">
        <v>15</v>
      </c>
      <c r="H11">
        <v>18.7</v>
      </c>
      <c r="I11">
        <v>2.2000000000000002</v>
      </c>
      <c r="J11">
        <v>36.891292</v>
      </c>
      <c r="K11">
        <v>-5.4340909999999996</v>
      </c>
    </row>
    <row r="12" spans="1:11" x14ac:dyDescent="0.3">
      <c r="A12">
        <v>1100601</v>
      </c>
      <c r="B12" t="s">
        <v>549</v>
      </c>
      <c r="C12">
        <v>1</v>
      </c>
      <c r="D12">
        <v>11630</v>
      </c>
      <c r="E12">
        <v>6413</v>
      </c>
      <c r="F12" t="s">
        <v>535</v>
      </c>
      <c r="G12">
        <v>14.4</v>
      </c>
      <c r="H12">
        <v>19.7</v>
      </c>
      <c r="I12">
        <v>2.5</v>
      </c>
      <c r="J12">
        <v>36.748241999999998</v>
      </c>
      <c r="K12">
        <v>-5.8055019999999997</v>
      </c>
    </row>
    <row r="13" spans="1:11" x14ac:dyDescent="0.3">
      <c r="A13">
        <v>1100602</v>
      </c>
      <c r="B13" t="s">
        <v>549</v>
      </c>
      <c r="C13">
        <v>2</v>
      </c>
      <c r="D13">
        <v>11630</v>
      </c>
      <c r="E13">
        <v>13646</v>
      </c>
      <c r="F13" t="s">
        <v>529</v>
      </c>
      <c r="G13">
        <v>18</v>
      </c>
      <c r="H13">
        <v>17</v>
      </c>
      <c r="I13">
        <v>2.6</v>
      </c>
      <c r="J13">
        <v>36.750652000000002</v>
      </c>
      <c r="K13">
        <v>-5.8046920000000002</v>
      </c>
    </row>
    <row r="14" spans="1:11" x14ac:dyDescent="0.3">
      <c r="A14">
        <v>1100603</v>
      </c>
      <c r="B14" t="s">
        <v>549</v>
      </c>
      <c r="C14">
        <v>3</v>
      </c>
      <c r="D14">
        <v>11630</v>
      </c>
      <c r="E14">
        <v>4993</v>
      </c>
      <c r="F14" t="s">
        <v>529</v>
      </c>
      <c r="G14">
        <v>18.5</v>
      </c>
      <c r="H14">
        <v>16.8</v>
      </c>
      <c r="I14">
        <v>2.5</v>
      </c>
      <c r="J14">
        <v>36.789206999999998</v>
      </c>
      <c r="K14">
        <v>-5.8475830000000002</v>
      </c>
    </row>
    <row r="15" spans="1:11" x14ac:dyDescent="0.3">
      <c r="A15">
        <v>1100604</v>
      </c>
      <c r="B15" t="s">
        <v>549</v>
      </c>
      <c r="C15">
        <v>4</v>
      </c>
      <c r="D15">
        <v>11630</v>
      </c>
      <c r="E15">
        <v>5101</v>
      </c>
      <c r="F15" t="s">
        <v>528</v>
      </c>
      <c r="G15">
        <v>16.600000000000001</v>
      </c>
      <c r="H15">
        <v>14.9</v>
      </c>
      <c r="I15">
        <v>2.6</v>
      </c>
      <c r="J15">
        <v>36.756397</v>
      </c>
      <c r="K15">
        <v>-5.7725590000000002</v>
      </c>
    </row>
    <row r="16" spans="1:11" x14ac:dyDescent="0.3">
      <c r="A16">
        <v>1100701</v>
      </c>
      <c r="B16" t="s">
        <v>550</v>
      </c>
      <c r="C16">
        <v>1</v>
      </c>
      <c r="D16">
        <v>11160</v>
      </c>
      <c r="E16">
        <v>6438</v>
      </c>
      <c r="F16" t="s">
        <v>529</v>
      </c>
      <c r="G16">
        <v>18.100000000000001</v>
      </c>
      <c r="H16">
        <v>17.2</v>
      </c>
      <c r="I16">
        <v>2.7</v>
      </c>
      <c r="J16">
        <v>36.193486</v>
      </c>
      <c r="K16">
        <v>-5.9200049999999997</v>
      </c>
    </row>
    <row r="17" spans="1:11" x14ac:dyDescent="0.3">
      <c r="A17">
        <v>1100702</v>
      </c>
      <c r="B17" t="s">
        <v>550</v>
      </c>
      <c r="C17">
        <v>2</v>
      </c>
      <c r="D17">
        <v>11160</v>
      </c>
      <c r="E17">
        <v>9380</v>
      </c>
      <c r="F17" t="s">
        <v>526</v>
      </c>
      <c r="G17">
        <v>15.6</v>
      </c>
      <c r="H17">
        <v>20.2</v>
      </c>
      <c r="I17">
        <v>2.7</v>
      </c>
      <c r="J17">
        <v>36.191335000000002</v>
      </c>
      <c r="K17">
        <v>-5.9228880000000004</v>
      </c>
    </row>
    <row r="18" spans="1:11" x14ac:dyDescent="0.3">
      <c r="A18">
        <v>1100703</v>
      </c>
      <c r="B18" t="s">
        <v>550</v>
      </c>
      <c r="C18">
        <v>3</v>
      </c>
      <c r="D18">
        <v>11160</v>
      </c>
      <c r="E18">
        <v>3351</v>
      </c>
      <c r="F18" t="s">
        <v>527</v>
      </c>
      <c r="G18">
        <v>16</v>
      </c>
      <c r="H18">
        <v>18.5</v>
      </c>
      <c r="I18">
        <v>2.5</v>
      </c>
      <c r="J18">
        <v>36.185763999999999</v>
      </c>
      <c r="K18">
        <v>-5.9138700000000002</v>
      </c>
    </row>
    <row r="19" spans="1:11" x14ac:dyDescent="0.3">
      <c r="A19">
        <v>1100704</v>
      </c>
      <c r="B19" t="s">
        <v>550</v>
      </c>
      <c r="C19">
        <v>4</v>
      </c>
      <c r="D19">
        <v>11160</v>
      </c>
      <c r="E19">
        <v>3040</v>
      </c>
      <c r="F19" t="s">
        <v>526</v>
      </c>
      <c r="G19">
        <v>14.5</v>
      </c>
      <c r="H19">
        <v>17.399999999999999</v>
      </c>
      <c r="I19">
        <v>2.2999999999999998</v>
      </c>
      <c r="J19">
        <v>36.199344000000004</v>
      </c>
      <c r="K19">
        <v>-5.8606230000000004</v>
      </c>
    </row>
    <row r="20" spans="1:11" x14ac:dyDescent="0.3">
      <c r="A20">
        <v>1100801</v>
      </c>
      <c r="B20" t="s">
        <v>551</v>
      </c>
      <c r="C20">
        <v>1</v>
      </c>
      <c r="D20">
        <v>11370</v>
      </c>
      <c r="E20">
        <v>17331</v>
      </c>
      <c r="F20" t="s">
        <v>537</v>
      </c>
      <c r="G20">
        <v>19.7</v>
      </c>
      <c r="H20">
        <v>15.2</v>
      </c>
      <c r="I20">
        <v>2.8</v>
      </c>
      <c r="J20">
        <v>36.228588000000002</v>
      </c>
      <c r="K20">
        <v>-5.582217</v>
      </c>
    </row>
    <row r="21" spans="1:11" x14ac:dyDescent="0.3">
      <c r="A21">
        <v>1100802</v>
      </c>
      <c r="B21" t="s">
        <v>551</v>
      </c>
      <c r="C21">
        <v>2</v>
      </c>
      <c r="D21">
        <v>11370</v>
      </c>
      <c r="E21">
        <v>1967</v>
      </c>
      <c r="F21" t="s">
        <v>537</v>
      </c>
      <c r="G21">
        <v>18.5</v>
      </c>
      <c r="H21">
        <v>17.7</v>
      </c>
      <c r="I21">
        <v>2.9</v>
      </c>
      <c r="J21">
        <v>36.181440000000002</v>
      </c>
      <c r="K21">
        <v>-5.4300160000000002</v>
      </c>
    </row>
    <row r="22" spans="1:11" x14ac:dyDescent="0.3">
      <c r="A22">
        <v>1100803</v>
      </c>
      <c r="B22" t="s">
        <v>551</v>
      </c>
      <c r="C22">
        <v>3</v>
      </c>
      <c r="D22">
        <v>11370</v>
      </c>
      <c r="E22">
        <v>4936</v>
      </c>
      <c r="F22" t="s">
        <v>539</v>
      </c>
      <c r="G22">
        <v>20.6</v>
      </c>
      <c r="H22">
        <v>11.7</v>
      </c>
      <c r="I22">
        <v>2.8</v>
      </c>
      <c r="J22">
        <v>36.213051999999998</v>
      </c>
      <c r="K22">
        <v>-5.4654569999999998</v>
      </c>
    </row>
    <row r="23" spans="1:11" x14ac:dyDescent="0.3">
      <c r="A23">
        <v>1190101</v>
      </c>
      <c r="B23" t="s">
        <v>585</v>
      </c>
      <c r="C23">
        <v>1</v>
      </c>
      <c r="D23">
        <v>11190</v>
      </c>
      <c r="E23">
        <v>7237</v>
      </c>
      <c r="F23" t="s">
        <v>529</v>
      </c>
      <c r="G23">
        <v>16.600000000000001</v>
      </c>
      <c r="H23">
        <v>16.3</v>
      </c>
      <c r="I23">
        <v>2.4</v>
      </c>
      <c r="J23">
        <v>36.341410000000003</v>
      </c>
      <c r="K23">
        <v>-5.805002</v>
      </c>
    </row>
    <row r="24" spans="1:11" x14ac:dyDescent="0.3">
      <c r="A24">
        <v>1100901</v>
      </c>
      <c r="B24" t="s">
        <v>552</v>
      </c>
      <c r="C24">
        <v>1</v>
      </c>
      <c r="D24">
        <v>11612</v>
      </c>
      <c r="E24">
        <v>761</v>
      </c>
      <c r="F24" t="s">
        <v>529</v>
      </c>
      <c r="G24">
        <v>12.5</v>
      </c>
      <c r="H24">
        <v>19.100000000000001</v>
      </c>
      <c r="I24">
        <v>2</v>
      </c>
      <c r="J24">
        <v>36.712378999999999</v>
      </c>
      <c r="K24">
        <v>-5.4525350000000001</v>
      </c>
    </row>
    <row r="25" spans="1:11" x14ac:dyDescent="0.3">
      <c r="A25">
        <v>1101001</v>
      </c>
      <c r="B25" t="s">
        <v>553</v>
      </c>
      <c r="C25">
        <v>1</v>
      </c>
      <c r="D25">
        <v>11640</v>
      </c>
      <c r="E25">
        <v>2784</v>
      </c>
      <c r="F25" t="s">
        <v>526</v>
      </c>
      <c r="G25">
        <v>14.9</v>
      </c>
      <c r="H25">
        <v>19.5</v>
      </c>
      <c r="I25">
        <v>2.4</v>
      </c>
      <c r="J25">
        <v>36.813890999999998</v>
      </c>
      <c r="K25">
        <v>-5.7437339999999999</v>
      </c>
    </row>
    <row r="26" spans="1:11" x14ac:dyDescent="0.3">
      <c r="A26">
        <v>1101002</v>
      </c>
      <c r="B26" t="s">
        <v>553</v>
      </c>
      <c r="C26">
        <v>2</v>
      </c>
      <c r="D26">
        <v>11640</v>
      </c>
      <c r="E26">
        <v>3843</v>
      </c>
      <c r="F26" t="s">
        <v>526</v>
      </c>
      <c r="G26">
        <v>16.100000000000001</v>
      </c>
      <c r="H26">
        <v>18.600000000000001</v>
      </c>
      <c r="I26">
        <v>2.5</v>
      </c>
      <c r="J26">
        <v>36.812865000000002</v>
      </c>
      <c r="K26">
        <v>-5.7476269999999996</v>
      </c>
    </row>
    <row r="27" spans="1:11" x14ac:dyDescent="0.3">
      <c r="A27">
        <v>1101003</v>
      </c>
      <c r="B27" t="s">
        <v>553</v>
      </c>
      <c r="C27">
        <v>3</v>
      </c>
      <c r="D27">
        <v>11640</v>
      </c>
      <c r="E27">
        <v>894</v>
      </c>
      <c r="F27" t="s">
        <v>526</v>
      </c>
      <c r="G27">
        <v>14.2</v>
      </c>
      <c r="H27">
        <v>20.3</v>
      </c>
      <c r="I27">
        <v>2.4</v>
      </c>
      <c r="J27">
        <v>36.856437</v>
      </c>
      <c r="K27">
        <v>-5.694871</v>
      </c>
    </row>
    <row r="28" spans="1:11" x14ac:dyDescent="0.3">
      <c r="A28">
        <v>1101101</v>
      </c>
      <c r="B28" t="s">
        <v>554</v>
      </c>
      <c r="C28">
        <v>1</v>
      </c>
      <c r="D28">
        <v>11670</v>
      </c>
      <c r="E28">
        <v>2249</v>
      </c>
      <c r="F28" t="s">
        <v>532</v>
      </c>
      <c r="G28">
        <v>16.899999999999999</v>
      </c>
      <c r="H28">
        <v>17.8</v>
      </c>
      <c r="I28">
        <v>2.4</v>
      </c>
      <c r="J28">
        <v>36.753700000000002</v>
      </c>
      <c r="K28">
        <v>-5.5107689999999998</v>
      </c>
    </row>
    <row r="29" spans="1:11" x14ac:dyDescent="0.3">
      <c r="A29">
        <v>1101201</v>
      </c>
      <c r="B29" t="s">
        <v>555</v>
      </c>
      <c r="C29">
        <v>1</v>
      </c>
      <c r="D29">
        <v>11001</v>
      </c>
      <c r="E29">
        <v>5631</v>
      </c>
      <c r="F29" t="s">
        <v>539</v>
      </c>
      <c r="G29">
        <v>11.8</v>
      </c>
      <c r="H29">
        <v>22.6</v>
      </c>
      <c r="I29">
        <v>2.2000000000000002</v>
      </c>
      <c r="J29">
        <v>36.535981</v>
      </c>
      <c r="K29">
        <v>-6.3005760000000004</v>
      </c>
    </row>
    <row r="30" spans="1:11" x14ac:dyDescent="0.3">
      <c r="A30">
        <v>1101202</v>
      </c>
      <c r="B30" t="s">
        <v>555</v>
      </c>
      <c r="C30">
        <v>2</v>
      </c>
      <c r="D30">
        <v>11001</v>
      </c>
      <c r="E30">
        <v>5390</v>
      </c>
      <c r="F30" t="s">
        <v>539</v>
      </c>
      <c r="G30">
        <v>12.8</v>
      </c>
      <c r="H30">
        <v>22.2</v>
      </c>
      <c r="I30">
        <v>2.2000000000000002</v>
      </c>
      <c r="J30">
        <v>36.533532000000001</v>
      </c>
      <c r="K30">
        <v>-6.2989980000000001</v>
      </c>
    </row>
    <row r="31" spans="1:11" x14ac:dyDescent="0.3">
      <c r="A31">
        <v>1101203</v>
      </c>
      <c r="B31" t="s">
        <v>555</v>
      </c>
      <c r="C31">
        <v>3</v>
      </c>
      <c r="D31">
        <v>11001</v>
      </c>
      <c r="E31">
        <v>6181</v>
      </c>
      <c r="F31" t="s">
        <v>537</v>
      </c>
      <c r="G31">
        <v>12.9</v>
      </c>
      <c r="H31">
        <v>25.5</v>
      </c>
      <c r="I31">
        <v>2.2999999999999998</v>
      </c>
      <c r="J31">
        <v>36.534148000000002</v>
      </c>
      <c r="K31">
        <v>-6.3006669999999998</v>
      </c>
    </row>
    <row r="32" spans="1:11" x14ac:dyDescent="0.3">
      <c r="A32">
        <v>1101204</v>
      </c>
      <c r="B32" t="s">
        <v>555</v>
      </c>
      <c r="C32">
        <v>4</v>
      </c>
      <c r="D32">
        <v>11001</v>
      </c>
      <c r="E32">
        <v>3834</v>
      </c>
      <c r="F32" t="s">
        <v>532</v>
      </c>
      <c r="G32">
        <v>12.4</v>
      </c>
      <c r="H32">
        <v>25.4</v>
      </c>
      <c r="I32">
        <v>2.2999999999999998</v>
      </c>
      <c r="J32">
        <v>36.530318000000001</v>
      </c>
      <c r="K32">
        <v>-6.3023910000000001</v>
      </c>
    </row>
    <row r="33" spans="1:11" x14ac:dyDescent="0.3">
      <c r="A33">
        <v>1101205</v>
      </c>
      <c r="B33" t="s">
        <v>555</v>
      </c>
      <c r="C33">
        <v>5</v>
      </c>
      <c r="D33">
        <v>11002</v>
      </c>
      <c r="E33">
        <v>4500</v>
      </c>
      <c r="F33" t="s">
        <v>528</v>
      </c>
      <c r="G33">
        <v>13.5</v>
      </c>
      <c r="H33">
        <v>21.8</v>
      </c>
      <c r="I33">
        <v>2.2999999999999998</v>
      </c>
      <c r="J33">
        <v>36.531317000000001</v>
      </c>
      <c r="K33">
        <v>-6.2988479999999996</v>
      </c>
    </row>
    <row r="34" spans="1:11" x14ac:dyDescent="0.3">
      <c r="A34">
        <v>1101206</v>
      </c>
      <c r="B34" t="s">
        <v>555</v>
      </c>
      <c r="C34">
        <v>6</v>
      </c>
      <c r="D34">
        <v>11002</v>
      </c>
      <c r="E34">
        <v>4030</v>
      </c>
      <c r="F34" t="s">
        <v>528</v>
      </c>
      <c r="G34">
        <v>13.7</v>
      </c>
      <c r="H34">
        <v>19.7</v>
      </c>
      <c r="I34">
        <v>2.2000000000000002</v>
      </c>
      <c r="J34">
        <v>36.530532999999998</v>
      </c>
      <c r="K34">
        <v>-6.2956580000000004</v>
      </c>
    </row>
    <row r="35" spans="1:11" x14ac:dyDescent="0.3">
      <c r="A35">
        <v>1101207</v>
      </c>
      <c r="B35" t="s">
        <v>555</v>
      </c>
      <c r="C35">
        <v>7</v>
      </c>
      <c r="D35">
        <v>11002</v>
      </c>
      <c r="E35">
        <v>3494</v>
      </c>
      <c r="F35" t="s">
        <v>526</v>
      </c>
      <c r="G35">
        <v>13.9</v>
      </c>
      <c r="H35">
        <v>21</v>
      </c>
      <c r="I35">
        <v>2.2000000000000002</v>
      </c>
      <c r="J35">
        <v>36.530016000000003</v>
      </c>
      <c r="K35">
        <v>-6.2870369999999998</v>
      </c>
    </row>
    <row r="36" spans="1:11" x14ac:dyDescent="0.3">
      <c r="A36">
        <v>1101208</v>
      </c>
      <c r="B36" t="s">
        <v>555</v>
      </c>
      <c r="C36">
        <v>8</v>
      </c>
      <c r="D36">
        <v>11003</v>
      </c>
      <c r="E36">
        <v>26141</v>
      </c>
      <c r="F36" t="s">
        <v>538</v>
      </c>
      <c r="G36">
        <v>13.9</v>
      </c>
      <c r="H36">
        <v>26.4</v>
      </c>
      <c r="I36">
        <v>2.5</v>
      </c>
      <c r="J36">
        <v>36.523164999999999</v>
      </c>
      <c r="K36">
        <v>-6.2878210000000001</v>
      </c>
    </row>
    <row r="37" spans="1:11" x14ac:dyDescent="0.3">
      <c r="A37">
        <v>1101209</v>
      </c>
      <c r="B37" t="s">
        <v>555</v>
      </c>
      <c r="C37">
        <v>9</v>
      </c>
      <c r="D37">
        <v>11003</v>
      </c>
      <c r="E37">
        <v>23519</v>
      </c>
      <c r="F37" t="s">
        <v>540</v>
      </c>
      <c r="G37">
        <v>13.2</v>
      </c>
      <c r="H37">
        <v>29</v>
      </c>
      <c r="I37">
        <v>2.5</v>
      </c>
      <c r="J37">
        <v>36.513362999999998</v>
      </c>
      <c r="K37">
        <v>-6.2831780000000004</v>
      </c>
    </row>
    <row r="38" spans="1:11" x14ac:dyDescent="0.3">
      <c r="A38">
        <v>1101210</v>
      </c>
      <c r="B38" t="s">
        <v>555</v>
      </c>
      <c r="C38">
        <v>10</v>
      </c>
      <c r="D38">
        <v>11003</v>
      </c>
      <c r="E38">
        <v>27683</v>
      </c>
      <c r="F38" t="s">
        <v>534</v>
      </c>
      <c r="G38">
        <v>13.1</v>
      </c>
      <c r="H38">
        <v>27.7</v>
      </c>
      <c r="I38">
        <v>2.4</v>
      </c>
      <c r="J38">
        <v>36.505968000000003</v>
      </c>
      <c r="K38">
        <v>-6.2783259999999999</v>
      </c>
    </row>
    <row r="39" spans="1:11" x14ac:dyDescent="0.3">
      <c r="A39">
        <v>1101301</v>
      </c>
      <c r="B39" t="s">
        <v>556</v>
      </c>
      <c r="C39">
        <v>1</v>
      </c>
      <c r="D39">
        <v>11350</v>
      </c>
      <c r="E39">
        <v>2990</v>
      </c>
      <c r="F39" t="s">
        <v>532</v>
      </c>
      <c r="G39">
        <v>18.100000000000001</v>
      </c>
      <c r="H39">
        <v>15.8</v>
      </c>
      <c r="I39">
        <v>2.7</v>
      </c>
      <c r="J39">
        <v>36.311818000000002</v>
      </c>
      <c r="K39">
        <v>-5.4649960000000002</v>
      </c>
    </row>
    <row r="40" spans="1:11" x14ac:dyDescent="0.3">
      <c r="A40">
        <v>1101501</v>
      </c>
      <c r="B40" t="s">
        <v>558</v>
      </c>
      <c r="C40">
        <v>1</v>
      </c>
      <c r="D40">
        <v>11130</v>
      </c>
      <c r="E40">
        <v>16119</v>
      </c>
      <c r="F40" t="s">
        <v>532</v>
      </c>
      <c r="G40">
        <v>18.5</v>
      </c>
      <c r="H40">
        <v>14.9</v>
      </c>
      <c r="I40">
        <v>2.7</v>
      </c>
      <c r="J40">
        <v>36.421380999999997</v>
      </c>
      <c r="K40">
        <v>-6.1504589999999997</v>
      </c>
    </row>
    <row r="41" spans="1:11" x14ac:dyDescent="0.3">
      <c r="A41">
        <v>1101502</v>
      </c>
      <c r="B41" t="s">
        <v>558</v>
      </c>
      <c r="C41">
        <v>2</v>
      </c>
      <c r="D41">
        <v>11130</v>
      </c>
      <c r="E41">
        <v>8888</v>
      </c>
      <c r="F41" t="s">
        <v>532</v>
      </c>
      <c r="G41">
        <v>18</v>
      </c>
      <c r="H41">
        <v>19.100000000000001</v>
      </c>
      <c r="I41">
        <v>2.7</v>
      </c>
      <c r="J41">
        <v>36.415405999999997</v>
      </c>
      <c r="K41">
        <v>-6.1497229999999998</v>
      </c>
    </row>
    <row r="42" spans="1:11" x14ac:dyDescent="0.3">
      <c r="A42">
        <v>1101503</v>
      </c>
      <c r="B42" t="s">
        <v>558</v>
      </c>
      <c r="C42">
        <v>3</v>
      </c>
      <c r="D42">
        <v>11130</v>
      </c>
      <c r="E42">
        <v>9870</v>
      </c>
      <c r="F42" t="s">
        <v>529</v>
      </c>
      <c r="G42">
        <v>18.899999999999999</v>
      </c>
      <c r="H42">
        <v>16.5</v>
      </c>
      <c r="I42">
        <v>2.6</v>
      </c>
      <c r="J42">
        <v>36.415641999999998</v>
      </c>
      <c r="K42">
        <v>-6.1427769999999997</v>
      </c>
    </row>
    <row r="43" spans="1:11" x14ac:dyDescent="0.3">
      <c r="A43">
        <v>1101504</v>
      </c>
      <c r="B43" t="s">
        <v>558</v>
      </c>
      <c r="C43">
        <v>4</v>
      </c>
      <c r="D43">
        <v>11130</v>
      </c>
      <c r="E43">
        <v>23557</v>
      </c>
      <c r="F43" t="s">
        <v>529</v>
      </c>
      <c r="G43">
        <v>19.8</v>
      </c>
      <c r="H43">
        <v>15</v>
      </c>
      <c r="I43">
        <v>2.7</v>
      </c>
      <c r="J43">
        <v>36.423479999999998</v>
      </c>
      <c r="K43">
        <v>-6.1459830000000002</v>
      </c>
    </row>
    <row r="44" spans="1:11" x14ac:dyDescent="0.3">
      <c r="A44">
        <v>1101505</v>
      </c>
      <c r="B44" t="s">
        <v>558</v>
      </c>
      <c r="C44">
        <v>5</v>
      </c>
      <c r="D44">
        <v>11130</v>
      </c>
      <c r="E44">
        <v>30760</v>
      </c>
      <c r="F44" t="s">
        <v>532</v>
      </c>
      <c r="G44">
        <v>18.7</v>
      </c>
      <c r="H44">
        <v>15.2</v>
      </c>
      <c r="I44">
        <v>2.5</v>
      </c>
      <c r="J44">
        <v>36.352390999999997</v>
      </c>
      <c r="K44">
        <v>-6.1613990000000003</v>
      </c>
    </row>
    <row r="45" spans="1:11" x14ac:dyDescent="0.3">
      <c r="A45">
        <v>1101601</v>
      </c>
      <c r="B45" t="s">
        <v>559</v>
      </c>
      <c r="C45">
        <v>1</v>
      </c>
      <c r="D45">
        <v>11550</v>
      </c>
      <c r="E45">
        <v>1836</v>
      </c>
      <c r="F45" t="s">
        <v>526</v>
      </c>
      <c r="G45">
        <v>15.3</v>
      </c>
      <c r="H45">
        <v>20.399999999999999</v>
      </c>
      <c r="I45">
        <v>2.2000000000000002</v>
      </c>
      <c r="J45">
        <v>36.742513000000002</v>
      </c>
      <c r="K45">
        <v>-6.4326040000000004</v>
      </c>
    </row>
    <row r="46" spans="1:11" x14ac:dyDescent="0.3">
      <c r="A46">
        <v>1101602</v>
      </c>
      <c r="B46" t="s">
        <v>559</v>
      </c>
      <c r="C46">
        <v>2</v>
      </c>
      <c r="D46">
        <v>11550</v>
      </c>
      <c r="E46">
        <v>8964</v>
      </c>
      <c r="F46" t="s">
        <v>535</v>
      </c>
      <c r="G46">
        <v>16.100000000000001</v>
      </c>
      <c r="H46">
        <v>21.7</v>
      </c>
      <c r="I46">
        <v>2.5</v>
      </c>
      <c r="J46">
        <v>36.739389000000003</v>
      </c>
      <c r="K46">
        <v>-6.4325570000000001</v>
      </c>
    </row>
    <row r="47" spans="1:11" x14ac:dyDescent="0.3">
      <c r="A47">
        <v>1101603</v>
      </c>
      <c r="B47" t="s">
        <v>559</v>
      </c>
      <c r="C47">
        <v>3</v>
      </c>
      <c r="D47">
        <v>11550</v>
      </c>
      <c r="E47">
        <v>9079</v>
      </c>
      <c r="F47" t="s">
        <v>536</v>
      </c>
      <c r="G47">
        <v>20.3</v>
      </c>
      <c r="H47">
        <v>13.1</v>
      </c>
      <c r="I47">
        <v>2.8</v>
      </c>
      <c r="J47">
        <v>36.727924000000002</v>
      </c>
      <c r="K47">
        <v>-6.3985440000000002</v>
      </c>
    </row>
    <row r="48" spans="1:11" x14ac:dyDescent="0.3">
      <c r="A48">
        <v>1101401</v>
      </c>
      <c r="B48" t="s">
        <v>557</v>
      </c>
      <c r="C48">
        <v>1</v>
      </c>
      <c r="D48">
        <v>11140</v>
      </c>
      <c r="E48">
        <v>9562</v>
      </c>
      <c r="F48" t="s">
        <v>528</v>
      </c>
      <c r="G48">
        <v>19.100000000000001</v>
      </c>
      <c r="H48">
        <v>16.7</v>
      </c>
      <c r="I48">
        <v>2.2999999999999998</v>
      </c>
      <c r="J48">
        <v>36.274977</v>
      </c>
      <c r="K48">
        <v>-6.0919059999999998</v>
      </c>
    </row>
    <row r="49" spans="1:11" x14ac:dyDescent="0.3">
      <c r="A49">
        <v>1101402</v>
      </c>
      <c r="B49" t="s">
        <v>557</v>
      </c>
      <c r="C49">
        <v>2</v>
      </c>
      <c r="D49">
        <v>11140</v>
      </c>
      <c r="E49">
        <v>8267</v>
      </c>
      <c r="F49" t="s">
        <v>529</v>
      </c>
      <c r="G49">
        <v>18.899999999999999</v>
      </c>
      <c r="H49">
        <v>17.3</v>
      </c>
      <c r="I49">
        <v>2.6</v>
      </c>
      <c r="J49">
        <v>36.280420999999997</v>
      </c>
      <c r="K49">
        <v>-6.0880919999999996</v>
      </c>
    </row>
    <row r="50" spans="1:11" x14ac:dyDescent="0.3">
      <c r="A50">
        <v>1101403</v>
      </c>
      <c r="B50" t="s">
        <v>557</v>
      </c>
      <c r="C50">
        <v>3</v>
      </c>
      <c r="D50">
        <v>11140</v>
      </c>
      <c r="E50">
        <v>6098</v>
      </c>
      <c r="F50" t="s">
        <v>527</v>
      </c>
      <c r="G50">
        <v>18.5</v>
      </c>
      <c r="H50">
        <v>17</v>
      </c>
      <c r="I50">
        <v>2.6</v>
      </c>
      <c r="J50">
        <v>36.272095999999998</v>
      </c>
      <c r="K50">
        <v>-6.0886659999999999</v>
      </c>
    </row>
    <row r="51" spans="1:11" x14ac:dyDescent="0.3">
      <c r="A51">
        <v>1101701</v>
      </c>
      <c r="B51" t="s">
        <v>560</v>
      </c>
      <c r="C51">
        <v>1</v>
      </c>
      <c r="D51">
        <v>11648</v>
      </c>
      <c r="E51">
        <v>3752</v>
      </c>
      <c r="F51" t="s">
        <v>527</v>
      </c>
      <c r="G51">
        <v>15.9</v>
      </c>
      <c r="H51">
        <v>19.8</v>
      </c>
      <c r="I51">
        <v>2.4</v>
      </c>
      <c r="J51">
        <v>36.874268999999998</v>
      </c>
      <c r="K51">
        <v>-5.8066490000000002</v>
      </c>
    </row>
    <row r="52" spans="1:11" x14ac:dyDescent="0.3">
      <c r="A52">
        <v>1101801</v>
      </c>
      <c r="B52" t="s">
        <v>561</v>
      </c>
      <c r="C52">
        <v>1</v>
      </c>
      <c r="D52">
        <v>11687</v>
      </c>
      <c r="E52">
        <v>1706</v>
      </c>
      <c r="F52" t="s">
        <v>527</v>
      </c>
      <c r="G52">
        <v>13.5</v>
      </c>
      <c r="H52">
        <v>22.9</v>
      </c>
      <c r="I52">
        <v>2.2000000000000002</v>
      </c>
      <c r="J52">
        <v>36.846362999999997</v>
      </c>
      <c r="K52">
        <v>-5.3451409999999999</v>
      </c>
    </row>
    <row r="53" spans="1:11" x14ac:dyDescent="0.3">
      <c r="A53">
        <v>1101901</v>
      </c>
      <c r="B53" t="s">
        <v>562</v>
      </c>
      <c r="C53">
        <v>1</v>
      </c>
      <c r="D53">
        <v>11610</v>
      </c>
      <c r="E53">
        <v>2007</v>
      </c>
      <c r="F53" t="s">
        <v>527</v>
      </c>
      <c r="G53">
        <v>12.8</v>
      </c>
      <c r="H53">
        <v>22.1</v>
      </c>
      <c r="I53">
        <v>2.2999999999999998</v>
      </c>
      <c r="J53">
        <v>36.760108000000002</v>
      </c>
      <c r="K53">
        <v>-5.3712340000000003</v>
      </c>
    </row>
    <row r="54" spans="1:11" x14ac:dyDescent="0.3">
      <c r="A54">
        <v>1102001</v>
      </c>
      <c r="B54" t="s">
        <v>563</v>
      </c>
      <c r="C54">
        <v>1</v>
      </c>
      <c r="D54">
        <v>11401</v>
      </c>
      <c r="E54">
        <v>4688</v>
      </c>
      <c r="F54" t="s">
        <v>528</v>
      </c>
      <c r="G54">
        <v>12.7</v>
      </c>
      <c r="H54">
        <v>20.8</v>
      </c>
      <c r="I54">
        <v>2.2999999999999998</v>
      </c>
      <c r="J54">
        <v>36.685319</v>
      </c>
      <c r="K54">
        <v>-6.1448029999999996</v>
      </c>
    </row>
    <row r="55" spans="1:11" x14ac:dyDescent="0.3">
      <c r="A55">
        <v>1102002</v>
      </c>
      <c r="B55" t="s">
        <v>563</v>
      </c>
      <c r="C55">
        <v>2</v>
      </c>
      <c r="D55">
        <v>11401</v>
      </c>
      <c r="E55">
        <v>28833</v>
      </c>
      <c r="F55" t="s">
        <v>532</v>
      </c>
      <c r="G55">
        <v>14.8</v>
      </c>
      <c r="H55">
        <v>23.1</v>
      </c>
      <c r="I55">
        <v>2.4</v>
      </c>
      <c r="J55">
        <v>36.690260000000002</v>
      </c>
      <c r="K55">
        <v>-6.1375200000000003</v>
      </c>
    </row>
    <row r="56" spans="1:11" x14ac:dyDescent="0.3">
      <c r="A56">
        <v>1102003</v>
      </c>
      <c r="B56" t="s">
        <v>563</v>
      </c>
      <c r="C56">
        <v>3</v>
      </c>
      <c r="D56">
        <v>11402</v>
      </c>
      <c r="E56">
        <v>21564</v>
      </c>
      <c r="F56" t="s">
        <v>535</v>
      </c>
      <c r="G56">
        <v>15.9</v>
      </c>
      <c r="H56">
        <v>20.7</v>
      </c>
      <c r="I56">
        <v>2.4</v>
      </c>
      <c r="J56">
        <v>36.681818</v>
      </c>
      <c r="K56">
        <v>-6.1537660000000001</v>
      </c>
    </row>
    <row r="57" spans="1:11" x14ac:dyDescent="0.3">
      <c r="A57">
        <v>1102004</v>
      </c>
      <c r="B57" t="s">
        <v>563</v>
      </c>
      <c r="C57">
        <v>4</v>
      </c>
      <c r="D57">
        <v>11402</v>
      </c>
      <c r="E57">
        <v>22968</v>
      </c>
      <c r="F57" t="s">
        <v>543</v>
      </c>
      <c r="G57">
        <v>19.399999999999999</v>
      </c>
      <c r="H57">
        <v>18.100000000000001</v>
      </c>
      <c r="I57">
        <v>2.8</v>
      </c>
      <c r="J57">
        <v>36.693125000000002</v>
      </c>
      <c r="K57">
        <v>-6.1271620000000002</v>
      </c>
    </row>
    <row r="58" spans="1:11" x14ac:dyDescent="0.3">
      <c r="A58">
        <v>1102005</v>
      </c>
      <c r="B58" t="s">
        <v>563</v>
      </c>
      <c r="C58">
        <v>5</v>
      </c>
      <c r="D58">
        <v>11402</v>
      </c>
      <c r="E58">
        <v>13260</v>
      </c>
      <c r="F58" t="s">
        <v>532</v>
      </c>
      <c r="G58">
        <v>16.899999999999999</v>
      </c>
      <c r="H58">
        <v>24.3</v>
      </c>
      <c r="I58">
        <v>2.5</v>
      </c>
      <c r="J58">
        <v>36.703006000000002</v>
      </c>
      <c r="K58">
        <v>-6.1440409999999996</v>
      </c>
    </row>
    <row r="59" spans="1:11" x14ac:dyDescent="0.3">
      <c r="A59">
        <v>1102006</v>
      </c>
      <c r="B59" t="s">
        <v>563</v>
      </c>
      <c r="C59">
        <v>6</v>
      </c>
      <c r="D59">
        <v>11402</v>
      </c>
      <c r="E59">
        <v>69049</v>
      </c>
      <c r="F59" t="s">
        <v>532</v>
      </c>
      <c r="G59">
        <v>18.899999999999999</v>
      </c>
      <c r="H59">
        <v>16.5</v>
      </c>
      <c r="I59">
        <v>2.7</v>
      </c>
      <c r="J59">
        <v>36.687486999999997</v>
      </c>
      <c r="K59">
        <v>-6.1249890000000002</v>
      </c>
    </row>
    <row r="60" spans="1:11" x14ac:dyDescent="0.3">
      <c r="A60">
        <v>1102007</v>
      </c>
      <c r="B60" t="s">
        <v>563</v>
      </c>
      <c r="C60">
        <v>7</v>
      </c>
      <c r="D60">
        <v>11403</v>
      </c>
      <c r="E60">
        <v>28701</v>
      </c>
      <c r="F60" t="s">
        <v>535</v>
      </c>
      <c r="G60">
        <v>21.3</v>
      </c>
      <c r="H60">
        <v>13</v>
      </c>
      <c r="I60">
        <v>2.7</v>
      </c>
      <c r="J60">
        <v>36.673955999999997</v>
      </c>
      <c r="K60">
        <v>-6.1426730000000003</v>
      </c>
    </row>
    <row r="61" spans="1:11" x14ac:dyDescent="0.3">
      <c r="A61">
        <v>1102008</v>
      </c>
      <c r="B61" t="s">
        <v>563</v>
      </c>
      <c r="C61">
        <v>8</v>
      </c>
      <c r="D61">
        <v>11403</v>
      </c>
      <c r="E61">
        <v>3261</v>
      </c>
      <c r="F61" t="s">
        <v>533</v>
      </c>
      <c r="G61">
        <v>13.2</v>
      </c>
      <c r="H61">
        <v>19.5</v>
      </c>
      <c r="I61">
        <v>2.8</v>
      </c>
      <c r="J61">
        <v>36.647615999999999</v>
      </c>
      <c r="K61">
        <v>-6.1339290000000002</v>
      </c>
    </row>
    <row r="62" spans="1:11" x14ac:dyDescent="0.3">
      <c r="A62">
        <v>1102009</v>
      </c>
      <c r="B62" t="s">
        <v>563</v>
      </c>
      <c r="C62">
        <v>9</v>
      </c>
      <c r="D62">
        <v>11403</v>
      </c>
      <c r="E62">
        <v>17483</v>
      </c>
      <c r="F62" t="s">
        <v>527</v>
      </c>
      <c r="G62">
        <v>16.5</v>
      </c>
      <c r="H62">
        <v>19.7</v>
      </c>
      <c r="I62">
        <v>2.7</v>
      </c>
      <c r="J62">
        <v>36.800339999999998</v>
      </c>
      <c r="K62">
        <v>-6.0818500000000002</v>
      </c>
    </row>
    <row r="63" spans="1:11" x14ac:dyDescent="0.3">
      <c r="A63">
        <v>1102010</v>
      </c>
      <c r="B63" t="s">
        <v>563</v>
      </c>
      <c r="C63">
        <v>10</v>
      </c>
      <c r="D63">
        <v>11403</v>
      </c>
      <c r="E63">
        <v>3378</v>
      </c>
      <c r="F63" t="s">
        <v>526</v>
      </c>
      <c r="G63">
        <v>17.899999999999999</v>
      </c>
      <c r="H63">
        <v>19.100000000000001</v>
      </c>
      <c r="I63">
        <v>2.6</v>
      </c>
      <c r="J63">
        <v>36.603397999999999</v>
      </c>
      <c r="K63">
        <v>-6.081175</v>
      </c>
    </row>
    <row r="64" spans="1:11" x14ac:dyDescent="0.3">
      <c r="A64">
        <v>1102101</v>
      </c>
      <c r="B64" t="s">
        <v>564</v>
      </c>
      <c r="C64">
        <v>1</v>
      </c>
      <c r="D64">
        <v>11330</v>
      </c>
      <c r="E64">
        <v>2931</v>
      </c>
      <c r="F64" t="s">
        <v>529</v>
      </c>
      <c r="G64">
        <v>16.399999999999999</v>
      </c>
      <c r="H64">
        <v>20.7</v>
      </c>
      <c r="I64">
        <v>2.4</v>
      </c>
      <c r="J64">
        <v>36.430919000000003</v>
      </c>
      <c r="K64">
        <v>-5.4505929999999996</v>
      </c>
    </row>
    <row r="65" spans="1:11" x14ac:dyDescent="0.3">
      <c r="A65">
        <v>1102102</v>
      </c>
      <c r="B65" t="s">
        <v>564</v>
      </c>
      <c r="C65">
        <v>2</v>
      </c>
      <c r="D65">
        <v>11330</v>
      </c>
      <c r="E65">
        <v>2189</v>
      </c>
      <c r="F65" t="s">
        <v>528</v>
      </c>
      <c r="G65">
        <v>21.2</v>
      </c>
      <c r="H65">
        <v>17.8</v>
      </c>
      <c r="I65">
        <v>2.7</v>
      </c>
      <c r="J65">
        <v>36.396745000000003</v>
      </c>
      <c r="K65">
        <v>-5.4193939999999996</v>
      </c>
    </row>
    <row r="66" spans="1:11" x14ac:dyDescent="0.3">
      <c r="A66">
        <v>1102103</v>
      </c>
      <c r="B66" t="s">
        <v>564</v>
      </c>
      <c r="C66">
        <v>3</v>
      </c>
      <c r="D66">
        <v>11330</v>
      </c>
      <c r="E66">
        <v>1645</v>
      </c>
      <c r="F66" t="s">
        <v>526</v>
      </c>
      <c r="G66">
        <v>18.100000000000001</v>
      </c>
      <c r="H66">
        <v>16.899999999999999</v>
      </c>
      <c r="I66">
        <v>2.6</v>
      </c>
      <c r="J66">
        <v>36.463182000000003</v>
      </c>
      <c r="K66">
        <v>-5.4093859999999996</v>
      </c>
    </row>
    <row r="67" spans="1:11" x14ac:dyDescent="0.3">
      <c r="A67">
        <v>1102201</v>
      </c>
      <c r="B67" t="s">
        <v>565</v>
      </c>
      <c r="C67">
        <v>1</v>
      </c>
      <c r="D67">
        <v>11300</v>
      </c>
      <c r="E67">
        <v>8266</v>
      </c>
      <c r="F67" t="s">
        <v>533</v>
      </c>
      <c r="G67">
        <v>15.1</v>
      </c>
      <c r="H67">
        <v>25.1</v>
      </c>
      <c r="I67">
        <v>2.4</v>
      </c>
      <c r="J67">
        <v>36.163133999999999</v>
      </c>
      <c r="K67">
        <v>-5.349386</v>
      </c>
    </row>
    <row r="68" spans="1:11" x14ac:dyDescent="0.3">
      <c r="A68">
        <v>1102202</v>
      </c>
      <c r="B68" t="s">
        <v>565</v>
      </c>
      <c r="C68">
        <v>2</v>
      </c>
      <c r="D68">
        <v>11300</v>
      </c>
      <c r="E68">
        <v>9658</v>
      </c>
      <c r="F68" t="s">
        <v>537</v>
      </c>
      <c r="G68">
        <v>17.2</v>
      </c>
      <c r="H68">
        <v>18.3</v>
      </c>
      <c r="I68">
        <v>2.5</v>
      </c>
      <c r="J68">
        <v>36.167321999999999</v>
      </c>
      <c r="K68">
        <v>-5.3415910000000002</v>
      </c>
    </row>
    <row r="69" spans="1:11" x14ac:dyDescent="0.3">
      <c r="A69">
        <v>1102203</v>
      </c>
      <c r="B69" t="s">
        <v>565</v>
      </c>
      <c r="C69">
        <v>3</v>
      </c>
      <c r="D69">
        <v>11300</v>
      </c>
      <c r="E69">
        <v>16740</v>
      </c>
      <c r="F69" t="s">
        <v>528</v>
      </c>
      <c r="G69">
        <v>17.2</v>
      </c>
      <c r="H69">
        <v>18.3</v>
      </c>
      <c r="I69">
        <v>2.6</v>
      </c>
      <c r="J69">
        <v>36.165452000000002</v>
      </c>
      <c r="K69">
        <v>-5.3492499999999996</v>
      </c>
    </row>
    <row r="70" spans="1:11" x14ac:dyDescent="0.3">
      <c r="A70">
        <v>1102204</v>
      </c>
      <c r="B70" t="s">
        <v>565</v>
      </c>
      <c r="C70">
        <v>4</v>
      </c>
      <c r="D70">
        <v>11300</v>
      </c>
      <c r="E70">
        <v>6862</v>
      </c>
      <c r="F70" t="s">
        <v>536</v>
      </c>
      <c r="G70">
        <v>18.100000000000001</v>
      </c>
      <c r="H70">
        <v>19.2</v>
      </c>
      <c r="I70">
        <v>2.6</v>
      </c>
      <c r="J70">
        <v>36.164622999999999</v>
      </c>
      <c r="K70">
        <v>-5.3549709999999999</v>
      </c>
    </row>
    <row r="71" spans="1:11" x14ac:dyDescent="0.3">
      <c r="A71">
        <v>1102205</v>
      </c>
      <c r="B71" t="s">
        <v>565</v>
      </c>
      <c r="C71">
        <v>5</v>
      </c>
      <c r="D71">
        <v>11300</v>
      </c>
      <c r="E71">
        <v>7529</v>
      </c>
      <c r="F71" t="s">
        <v>542</v>
      </c>
      <c r="G71">
        <v>21.3</v>
      </c>
      <c r="H71">
        <v>14.5</v>
      </c>
      <c r="I71">
        <v>2.7</v>
      </c>
      <c r="J71">
        <v>36.167175999999998</v>
      </c>
      <c r="K71">
        <v>-5.3632249999999999</v>
      </c>
    </row>
    <row r="72" spans="1:11" x14ac:dyDescent="0.3">
      <c r="A72">
        <v>1102206</v>
      </c>
      <c r="B72" t="s">
        <v>565</v>
      </c>
      <c r="C72">
        <v>6</v>
      </c>
      <c r="D72">
        <v>11300</v>
      </c>
      <c r="E72">
        <v>7024</v>
      </c>
      <c r="F72" t="s">
        <v>541</v>
      </c>
      <c r="G72">
        <v>19.8</v>
      </c>
      <c r="H72">
        <v>17.399999999999999</v>
      </c>
      <c r="I72">
        <v>2.8</v>
      </c>
      <c r="J72">
        <v>36.177827999999998</v>
      </c>
      <c r="K72">
        <v>-5.3373900000000001</v>
      </c>
    </row>
    <row r="73" spans="1:11" x14ac:dyDescent="0.3">
      <c r="A73">
        <v>1102207</v>
      </c>
      <c r="B73" t="s">
        <v>565</v>
      </c>
      <c r="C73">
        <v>7</v>
      </c>
      <c r="D73">
        <v>11300</v>
      </c>
      <c r="E73">
        <v>7698</v>
      </c>
      <c r="F73" t="s">
        <v>539</v>
      </c>
      <c r="G73">
        <v>22.2</v>
      </c>
      <c r="H73">
        <v>9.3000000000000007</v>
      </c>
      <c r="I73">
        <v>2.6</v>
      </c>
      <c r="J73">
        <v>36.189667999999998</v>
      </c>
      <c r="K73">
        <v>-5.3404639999999999</v>
      </c>
    </row>
    <row r="74" spans="1:11" x14ac:dyDescent="0.3">
      <c r="A74">
        <v>1102301</v>
      </c>
      <c r="B74" t="s">
        <v>566</v>
      </c>
      <c r="C74">
        <v>1</v>
      </c>
      <c r="D74">
        <v>11170</v>
      </c>
      <c r="E74">
        <v>731</v>
      </c>
      <c r="F74" t="s">
        <v>527</v>
      </c>
      <c r="G74">
        <v>10.1</v>
      </c>
      <c r="H74">
        <v>21.5</v>
      </c>
      <c r="I74">
        <v>2.6</v>
      </c>
      <c r="J74">
        <v>36.454583</v>
      </c>
      <c r="K74">
        <v>-5.9271890000000003</v>
      </c>
    </row>
    <row r="75" spans="1:11" x14ac:dyDescent="0.3">
      <c r="A75">
        <v>1102302</v>
      </c>
      <c r="B75" t="s">
        <v>566</v>
      </c>
      <c r="C75">
        <v>2</v>
      </c>
      <c r="D75">
        <v>11170</v>
      </c>
      <c r="E75">
        <v>781</v>
      </c>
      <c r="F75" t="s">
        <v>527</v>
      </c>
      <c r="G75">
        <v>13.3</v>
      </c>
      <c r="H75">
        <v>22.9</v>
      </c>
      <c r="I75">
        <v>2.5</v>
      </c>
      <c r="J75">
        <v>36.458798000000002</v>
      </c>
      <c r="K75">
        <v>-5.9260299999999999</v>
      </c>
    </row>
    <row r="76" spans="1:11" x14ac:dyDescent="0.3">
      <c r="A76">
        <v>1102303</v>
      </c>
      <c r="B76" t="s">
        <v>566</v>
      </c>
      <c r="C76">
        <v>3</v>
      </c>
      <c r="D76">
        <v>11170</v>
      </c>
      <c r="E76">
        <v>636</v>
      </c>
      <c r="F76" t="s">
        <v>537</v>
      </c>
      <c r="G76">
        <v>11.6</v>
      </c>
      <c r="H76">
        <v>25.6</v>
      </c>
      <c r="I76">
        <v>2.2999999999999998</v>
      </c>
      <c r="J76">
        <v>36.457138</v>
      </c>
      <c r="K76">
        <v>-5.9282789999999999</v>
      </c>
    </row>
    <row r="77" spans="1:11" x14ac:dyDescent="0.3">
      <c r="A77">
        <v>1102304</v>
      </c>
      <c r="B77" t="s">
        <v>566</v>
      </c>
      <c r="C77">
        <v>4</v>
      </c>
      <c r="D77">
        <v>11170</v>
      </c>
      <c r="E77">
        <v>900</v>
      </c>
      <c r="F77" t="s">
        <v>527</v>
      </c>
      <c r="G77">
        <v>10.199999999999999</v>
      </c>
      <c r="H77">
        <v>28.6</v>
      </c>
      <c r="I77">
        <v>2.4</v>
      </c>
      <c r="J77">
        <v>36.457945000000002</v>
      </c>
      <c r="K77">
        <v>-5.9320339999999998</v>
      </c>
    </row>
    <row r="78" spans="1:11" x14ac:dyDescent="0.3">
      <c r="A78">
        <v>1102305</v>
      </c>
      <c r="B78" t="s">
        <v>566</v>
      </c>
      <c r="C78">
        <v>5</v>
      </c>
      <c r="D78">
        <v>11170</v>
      </c>
      <c r="E78">
        <v>6942</v>
      </c>
      <c r="F78" t="s">
        <v>529</v>
      </c>
      <c r="G78">
        <v>20.9</v>
      </c>
      <c r="H78">
        <v>13.6</v>
      </c>
      <c r="I78">
        <v>2.7</v>
      </c>
      <c r="J78">
        <v>36.463320000000003</v>
      </c>
      <c r="K78">
        <v>-5.9295020000000003</v>
      </c>
    </row>
    <row r="79" spans="1:11" x14ac:dyDescent="0.3">
      <c r="A79">
        <v>1102306</v>
      </c>
      <c r="B79" t="s">
        <v>566</v>
      </c>
      <c r="C79">
        <v>6</v>
      </c>
      <c r="D79">
        <v>11170</v>
      </c>
      <c r="E79">
        <v>1669</v>
      </c>
      <c r="F79" t="s">
        <v>529</v>
      </c>
      <c r="G79">
        <v>15.9</v>
      </c>
      <c r="H79">
        <v>16.399999999999999</v>
      </c>
      <c r="I79">
        <v>2.2999999999999998</v>
      </c>
      <c r="J79">
        <v>36.396639999999998</v>
      </c>
      <c r="K79">
        <v>-5.867254</v>
      </c>
    </row>
    <row r="80" spans="1:11" x14ac:dyDescent="0.3">
      <c r="A80">
        <v>1102401</v>
      </c>
      <c r="B80" t="s">
        <v>567</v>
      </c>
      <c r="C80">
        <v>1</v>
      </c>
      <c r="D80">
        <v>11690</v>
      </c>
      <c r="E80">
        <v>615</v>
      </c>
      <c r="F80" t="s">
        <v>526</v>
      </c>
      <c r="G80">
        <v>9.4</v>
      </c>
      <c r="H80">
        <v>30.4</v>
      </c>
      <c r="I80">
        <v>2.1</v>
      </c>
      <c r="J80">
        <v>36.944191000000004</v>
      </c>
      <c r="K80">
        <v>-5.2954660000000002</v>
      </c>
    </row>
    <row r="81" spans="1:11" x14ac:dyDescent="0.3">
      <c r="A81">
        <v>1102402</v>
      </c>
      <c r="B81" t="s">
        <v>567</v>
      </c>
      <c r="C81">
        <v>2</v>
      </c>
      <c r="D81">
        <v>11690</v>
      </c>
      <c r="E81">
        <v>1607</v>
      </c>
      <c r="F81" t="s">
        <v>535</v>
      </c>
      <c r="G81">
        <v>10.8</v>
      </c>
      <c r="H81">
        <v>26</v>
      </c>
      <c r="I81">
        <v>2.2000000000000002</v>
      </c>
      <c r="J81">
        <v>36.933844000000001</v>
      </c>
      <c r="K81">
        <v>-5.2657550000000004</v>
      </c>
    </row>
    <row r="82" spans="1:11" x14ac:dyDescent="0.3">
      <c r="A82">
        <v>1102403</v>
      </c>
      <c r="B82" t="s">
        <v>567</v>
      </c>
      <c r="C82">
        <v>3</v>
      </c>
      <c r="D82">
        <v>11690</v>
      </c>
      <c r="E82">
        <v>972</v>
      </c>
      <c r="F82" t="s">
        <v>528</v>
      </c>
      <c r="G82">
        <v>14.7</v>
      </c>
      <c r="H82">
        <v>23.5</v>
      </c>
      <c r="I82">
        <v>2.2999999999999998</v>
      </c>
      <c r="J82">
        <v>36.973184000000003</v>
      </c>
      <c r="K82">
        <v>-5.324954</v>
      </c>
    </row>
    <row r="83" spans="1:11" x14ac:dyDescent="0.3">
      <c r="A83">
        <v>1102404</v>
      </c>
      <c r="B83" t="s">
        <v>567</v>
      </c>
      <c r="C83">
        <v>4</v>
      </c>
      <c r="D83">
        <v>11690</v>
      </c>
      <c r="E83">
        <v>4640</v>
      </c>
      <c r="F83" t="s">
        <v>528</v>
      </c>
      <c r="G83">
        <v>18.100000000000001</v>
      </c>
      <c r="H83">
        <v>19.8</v>
      </c>
      <c r="I83">
        <v>2.5</v>
      </c>
      <c r="J83">
        <v>36.894550000000002</v>
      </c>
      <c r="K83">
        <v>-5.278054</v>
      </c>
    </row>
    <row r="84" spans="1:11" x14ac:dyDescent="0.3">
      <c r="A84">
        <v>1102501</v>
      </c>
      <c r="B84" t="s">
        <v>568</v>
      </c>
      <c r="C84">
        <v>1</v>
      </c>
      <c r="D84">
        <v>11178</v>
      </c>
      <c r="E84">
        <v>5516</v>
      </c>
      <c r="F84" t="s">
        <v>529</v>
      </c>
      <c r="G84">
        <v>17.5</v>
      </c>
      <c r="H84">
        <v>16.7</v>
      </c>
      <c r="I84">
        <v>2.5</v>
      </c>
      <c r="J84">
        <v>36.529058999999997</v>
      </c>
      <c r="K84">
        <v>-5.8750859999999996</v>
      </c>
    </row>
    <row r="85" spans="1:11" x14ac:dyDescent="0.3">
      <c r="A85">
        <v>1102601</v>
      </c>
      <c r="B85" t="s">
        <v>569</v>
      </c>
      <c r="C85">
        <v>1</v>
      </c>
      <c r="D85">
        <v>11660</v>
      </c>
      <c r="E85">
        <v>2469</v>
      </c>
      <c r="F85" t="s">
        <v>529</v>
      </c>
      <c r="G85">
        <v>14.1</v>
      </c>
      <c r="H85">
        <v>21.9</v>
      </c>
      <c r="I85">
        <v>2.2999999999999998</v>
      </c>
      <c r="J85">
        <v>36.790114000000003</v>
      </c>
      <c r="K85">
        <v>-5.5546490000000004</v>
      </c>
    </row>
    <row r="86" spans="1:11" x14ac:dyDescent="0.3">
      <c r="A86">
        <v>1102602</v>
      </c>
      <c r="B86" t="s">
        <v>569</v>
      </c>
      <c r="C86">
        <v>2</v>
      </c>
      <c r="D86">
        <v>11660</v>
      </c>
      <c r="E86">
        <v>3196</v>
      </c>
      <c r="F86" t="s">
        <v>526</v>
      </c>
      <c r="G86">
        <v>16.100000000000001</v>
      </c>
      <c r="H86">
        <v>18</v>
      </c>
      <c r="I86">
        <v>2.5</v>
      </c>
      <c r="J86">
        <v>36.786113999999998</v>
      </c>
      <c r="K86">
        <v>-5.5536009999999996</v>
      </c>
    </row>
    <row r="87" spans="1:11" x14ac:dyDescent="0.3">
      <c r="A87">
        <v>1102701</v>
      </c>
      <c r="B87" t="s">
        <v>570</v>
      </c>
      <c r="C87">
        <v>1</v>
      </c>
      <c r="D87">
        <v>11500</v>
      </c>
      <c r="E87">
        <v>42328</v>
      </c>
      <c r="F87" t="s">
        <v>527</v>
      </c>
      <c r="G87">
        <v>15.8</v>
      </c>
      <c r="H87">
        <v>21.7</v>
      </c>
      <c r="I87">
        <v>2.5</v>
      </c>
      <c r="J87">
        <v>36.610263000000003</v>
      </c>
      <c r="K87">
        <v>-6.2175219999999998</v>
      </c>
    </row>
    <row r="88" spans="1:11" x14ac:dyDescent="0.3">
      <c r="A88">
        <v>1102702</v>
      </c>
      <c r="B88" t="s">
        <v>570</v>
      </c>
      <c r="C88">
        <v>2</v>
      </c>
      <c r="D88">
        <v>11500</v>
      </c>
      <c r="E88">
        <v>17265</v>
      </c>
      <c r="F88" t="s">
        <v>543</v>
      </c>
      <c r="G88">
        <v>19.399999999999999</v>
      </c>
      <c r="H88">
        <v>17.3</v>
      </c>
      <c r="I88">
        <v>2.8</v>
      </c>
      <c r="J88">
        <v>36.590435999999997</v>
      </c>
      <c r="K88">
        <v>-6.261863</v>
      </c>
    </row>
    <row r="89" spans="1:11" x14ac:dyDescent="0.3">
      <c r="A89">
        <v>1102703</v>
      </c>
      <c r="B89" t="s">
        <v>570</v>
      </c>
      <c r="C89">
        <v>3</v>
      </c>
      <c r="D89">
        <v>11500</v>
      </c>
      <c r="E89">
        <v>24957</v>
      </c>
      <c r="F89" t="s">
        <v>528</v>
      </c>
      <c r="G89">
        <v>21.6</v>
      </c>
      <c r="H89">
        <v>12.9</v>
      </c>
      <c r="I89">
        <v>2.9</v>
      </c>
      <c r="J89">
        <v>36.609298000000003</v>
      </c>
      <c r="K89">
        <v>-6.2299350000000002</v>
      </c>
    </row>
    <row r="90" spans="1:11" x14ac:dyDescent="0.3">
      <c r="A90">
        <v>1102704</v>
      </c>
      <c r="B90" t="s">
        <v>570</v>
      </c>
      <c r="C90">
        <v>4</v>
      </c>
      <c r="D90">
        <v>11500</v>
      </c>
      <c r="E90">
        <v>5088</v>
      </c>
      <c r="F90" t="s">
        <v>530</v>
      </c>
      <c r="G90">
        <v>15.2</v>
      </c>
      <c r="H90">
        <v>21.5</v>
      </c>
      <c r="I90">
        <v>2.5</v>
      </c>
      <c r="J90">
        <v>36.584629</v>
      </c>
      <c r="K90">
        <v>-6.1881399999999998</v>
      </c>
    </row>
    <row r="91" spans="1:11" x14ac:dyDescent="0.3">
      <c r="A91">
        <v>1102801</v>
      </c>
      <c r="B91" t="s">
        <v>571</v>
      </c>
      <c r="C91">
        <v>1</v>
      </c>
      <c r="D91">
        <v>11510</v>
      </c>
      <c r="E91">
        <v>9135</v>
      </c>
      <c r="F91" t="s">
        <v>537</v>
      </c>
      <c r="G91">
        <v>12.2</v>
      </c>
      <c r="H91">
        <v>21.7</v>
      </c>
      <c r="I91">
        <v>2.5</v>
      </c>
      <c r="J91">
        <v>36.528733000000003</v>
      </c>
      <c r="K91">
        <v>-6.1980040000000001</v>
      </c>
    </row>
    <row r="92" spans="1:11" x14ac:dyDescent="0.3">
      <c r="A92">
        <v>1102802</v>
      </c>
      <c r="B92" t="s">
        <v>571</v>
      </c>
      <c r="C92">
        <v>2</v>
      </c>
      <c r="D92">
        <v>11510</v>
      </c>
      <c r="E92">
        <v>2753</v>
      </c>
      <c r="F92" t="s">
        <v>533</v>
      </c>
      <c r="G92">
        <v>13.5</v>
      </c>
      <c r="H92">
        <v>25.7</v>
      </c>
      <c r="I92">
        <v>2.4</v>
      </c>
      <c r="J92">
        <v>36.529685000000001</v>
      </c>
      <c r="K92">
        <v>-6.192151</v>
      </c>
    </row>
    <row r="93" spans="1:11" x14ac:dyDescent="0.3">
      <c r="A93">
        <v>1102803</v>
      </c>
      <c r="B93" t="s">
        <v>571</v>
      </c>
      <c r="C93">
        <v>3</v>
      </c>
      <c r="D93">
        <v>11510</v>
      </c>
      <c r="E93">
        <v>11782</v>
      </c>
      <c r="F93" t="s">
        <v>531</v>
      </c>
      <c r="G93">
        <v>13.7</v>
      </c>
      <c r="H93">
        <v>22.6</v>
      </c>
      <c r="I93">
        <v>2.5</v>
      </c>
      <c r="J93">
        <v>36.530402000000002</v>
      </c>
      <c r="K93">
        <v>-6.1875220000000004</v>
      </c>
    </row>
    <row r="94" spans="1:11" x14ac:dyDescent="0.3">
      <c r="A94">
        <v>1102804</v>
      </c>
      <c r="B94" t="s">
        <v>571</v>
      </c>
      <c r="C94">
        <v>4</v>
      </c>
      <c r="D94">
        <v>11510</v>
      </c>
      <c r="E94">
        <v>18176</v>
      </c>
      <c r="F94" t="s">
        <v>533</v>
      </c>
      <c r="G94">
        <v>22</v>
      </c>
      <c r="H94">
        <v>10.9</v>
      </c>
      <c r="I94">
        <v>2.7</v>
      </c>
      <c r="J94">
        <v>36.495908</v>
      </c>
      <c r="K94">
        <v>-6.0983099999999997</v>
      </c>
    </row>
    <row r="95" spans="1:11" x14ac:dyDescent="0.3">
      <c r="A95">
        <v>1102901</v>
      </c>
      <c r="B95" t="s">
        <v>572</v>
      </c>
      <c r="C95">
        <v>1</v>
      </c>
      <c r="D95">
        <v>11659</v>
      </c>
      <c r="E95">
        <v>6891</v>
      </c>
      <c r="F95" t="s">
        <v>526</v>
      </c>
      <c r="G95">
        <v>19.2</v>
      </c>
      <c r="H95">
        <v>12.9</v>
      </c>
      <c r="I95">
        <v>2.7</v>
      </c>
      <c r="J95">
        <v>36.919510000000002</v>
      </c>
      <c r="K95">
        <v>-5.5462600000000002</v>
      </c>
    </row>
    <row r="96" spans="1:11" x14ac:dyDescent="0.3">
      <c r="A96">
        <v>1103001</v>
      </c>
      <c r="B96" t="s">
        <v>573</v>
      </c>
      <c r="C96">
        <v>1</v>
      </c>
      <c r="D96">
        <v>11520</v>
      </c>
      <c r="E96">
        <v>7897</v>
      </c>
      <c r="F96" t="s">
        <v>534</v>
      </c>
      <c r="G96">
        <v>19</v>
      </c>
      <c r="H96">
        <v>16.399999999999999</v>
      </c>
      <c r="I96">
        <v>2.6</v>
      </c>
      <c r="J96">
        <v>36.617066000000001</v>
      </c>
      <c r="K96">
        <v>-6.3578210000000004</v>
      </c>
    </row>
    <row r="97" spans="1:11" x14ac:dyDescent="0.3">
      <c r="A97">
        <v>1103002</v>
      </c>
      <c r="B97" t="s">
        <v>573</v>
      </c>
      <c r="C97">
        <v>2</v>
      </c>
      <c r="D97">
        <v>11520</v>
      </c>
      <c r="E97">
        <v>5351</v>
      </c>
      <c r="F97" t="s">
        <v>537</v>
      </c>
      <c r="G97">
        <v>19.3</v>
      </c>
      <c r="H97">
        <v>16.100000000000001</v>
      </c>
      <c r="I97">
        <v>2.5</v>
      </c>
      <c r="J97">
        <v>36.623775999999999</v>
      </c>
      <c r="K97">
        <v>-6.3558459999999997</v>
      </c>
    </row>
    <row r="98" spans="1:11" x14ac:dyDescent="0.3">
      <c r="A98">
        <v>1103003</v>
      </c>
      <c r="B98" t="s">
        <v>573</v>
      </c>
      <c r="C98">
        <v>3</v>
      </c>
      <c r="D98">
        <v>11520</v>
      </c>
      <c r="E98">
        <v>15908</v>
      </c>
      <c r="F98" t="s">
        <v>528</v>
      </c>
      <c r="G98">
        <v>16</v>
      </c>
      <c r="H98">
        <v>20.100000000000001</v>
      </c>
      <c r="I98">
        <v>2.5</v>
      </c>
      <c r="J98">
        <v>36.620897999999997</v>
      </c>
      <c r="K98">
        <v>-6.3588969999999998</v>
      </c>
    </row>
    <row r="99" spans="1:11" x14ac:dyDescent="0.3">
      <c r="A99">
        <v>1103101</v>
      </c>
      <c r="B99" t="s">
        <v>574</v>
      </c>
      <c r="C99">
        <v>1</v>
      </c>
      <c r="D99">
        <v>11100</v>
      </c>
      <c r="E99">
        <v>21225</v>
      </c>
      <c r="F99" t="s">
        <v>533</v>
      </c>
      <c r="G99">
        <v>17.3</v>
      </c>
      <c r="H99">
        <v>19.100000000000001</v>
      </c>
      <c r="I99">
        <v>2.6</v>
      </c>
      <c r="J99">
        <v>36.474339000000001</v>
      </c>
      <c r="K99">
        <v>-6.1847580000000004</v>
      </c>
    </row>
    <row r="100" spans="1:11" x14ac:dyDescent="0.3">
      <c r="A100">
        <v>1103102</v>
      </c>
      <c r="B100" t="s">
        <v>574</v>
      </c>
      <c r="C100">
        <v>2</v>
      </c>
      <c r="D100">
        <v>11100</v>
      </c>
      <c r="E100">
        <v>938</v>
      </c>
      <c r="F100" t="s">
        <v>531</v>
      </c>
      <c r="G100">
        <v>15.8</v>
      </c>
      <c r="H100">
        <v>25.5</v>
      </c>
      <c r="I100">
        <v>2.5</v>
      </c>
      <c r="J100">
        <v>36.469957999999998</v>
      </c>
      <c r="K100">
        <v>-6.1947760000000001</v>
      </c>
    </row>
    <row r="101" spans="1:11" x14ac:dyDescent="0.3">
      <c r="A101">
        <v>1103103</v>
      </c>
      <c r="B101" t="s">
        <v>574</v>
      </c>
      <c r="C101">
        <v>3</v>
      </c>
      <c r="D101">
        <v>11100</v>
      </c>
      <c r="E101">
        <v>8001</v>
      </c>
      <c r="F101" t="s">
        <v>537</v>
      </c>
      <c r="G101">
        <v>13.6</v>
      </c>
      <c r="H101">
        <v>23.7</v>
      </c>
      <c r="I101">
        <v>2.5</v>
      </c>
      <c r="J101">
        <v>36.47175</v>
      </c>
      <c r="K101">
        <v>-6.2007329999999996</v>
      </c>
    </row>
    <row r="102" spans="1:11" x14ac:dyDescent="0.3">
      <c r="A102">
        <v>1103104</v>
      </c>
      <c r="B102" t="s">
        <v>574</v>
      </c>
      <c r="C102">
        <v>4</v>
      </c>
      <c r="D102">
        <v>11100</v>
      </c>
      <c r="E102">
        <v>7474</v>
      </c>
      <c r="F102" t="s">
        <v>531</v>
      </c>
      <c r="G102">
        <v>15</v>
      </c>
      <c r="H102">
        <v>23.3</v>
      </c>
      <c r="I102">
        <v>2.5</v>
      </c>
      <c r="J102">
        <v>36.465941000000001</v>
      </c>
      <c r="K102">
        <v>-6.1983920000000001</v>
      </c>
    </row>
    <row r="103" spans="1:11" x14ac:dyDescent="0.3">
      <c r="A103">
        <v>1103105</v>
      </c>
      <c r="B103" t="s">
        <v>574</v>
      </c>
      <c r="C103">
        <v>5</v>
      </c>
      <c r="D103">
        <v>11100</v>
      </c>
      <c r="E103">
        <v>10532</v>
      </c>
      <c r="F103" t="s">
        <v>539</v>
      </c>
      <c r="G103">
        <v>15.3</v>
      </c>
      <c r="H103">
        <v>22.7</v>
      </c>
      <c r="I103">
        <v>2.6</v>
      </c>
      <c r="J103">
        <v>36.463005000000003</v>
      </c>
      <c r="K103">
        <v>-6.2043590000000002</v>
      </c>
    </row>
    <row r="104" spans="1:11" x14ac:dyDescent="0.3">
      <c r="A104">
        <v>1103106</v>
      </c>
      <c r="B104" t="s">
        <v>574</v>
      </c>
      <c r="C104">
        <v>6</v>
      </c>
      <c r="D104">
        <v>11100</v>
      </c>
      <c r="E104">
        <v>45019</v>
      </c>
      <c r="F104" t="s">
        <v>533</v>
      </c>
      <c r="G104">
        <v>18.399999999999999</v>
      </c>
      <c r="H104">
        <v>17.8</v>
      </c>
      <c r="I104">
        <v>2.7</v>
      </c>
      <c r="J104">
        <v>36.461444</v>
      </c>
      <c r="K104">
        <v>-6.201327</v>
      </c>
    </row>
    <row r="105" spans="1:11" x14ac:dyDescent="0.3">
      <c r="A105">
        <v>1190201</v>
      </c>
      <c r="B105" t="s">
        <v>586</v>
      </c>
      <c r="C105">
        <v>1</v>
      </c>
      <c r="D105">
        <v>11580</v>
      </c>
      <c r="E105">
        <v>4469</v>
      </c>
      <c r="F105" t="s">
        <v>529</v>
      </c>
      <c r="G105">
        <v>16.3</v>
      </c>
      <c r="H105">
        <v>19.2</v>
      </c>
      <c r="I105">
        <v>2.2999999999999998</v>
      </c>
      <c r="J105">
        <v>36.607374</v>
      </c>
      <c r="K105">
        <v>-5.7988189999999999</v>
      </c>
    </row>
    <row r="106" spans="1:11" x14ac:dyDescent="0.3">
      <c r="A106">
        <v>1190301</v>
      </c>
      <c r="B106" t="s">
        <v>587</v>
      </c>
      <c r="C106">
        <v>1</v>
      </c>
      <c r="D106">
        <v>11337</v>
      </c>
      <c r="E106">
        <v>2695</v>
      </c>
      <c r="F106" t="s">
        <v>529</v>
      </c>
      <c r="G106">
        <v>18.100000000000001</v>
      </c>
      <c r="H106">
        <v>17.600000000000001</v>
      </c>
      <c r="I106">
        <v>2.7</v>
      </c>
      <c r="J106">
        <v>36.359070000000003</v>
      </c>
      <c r="K106">
        <v>-5.363435</v>
      </c>
    </row>
    <row r="107" spans="1:11" x14ac:dyDescent="0.3">
      <c r="A107">
        <v>1103301</v>
      </c>
      <c r="B107" t="s">
        <v>576</v>
      </c>
      <c r="C107">
        <v>1</v>
      </c>
      <c r="D107">
        <v>11310</v>
      </c>
      <c r="E107">
        <v>3380</v>
      </c>
      <c r="F107" t="s">
        <v>537</v>
      </c>
      <c r="G107">
        <v>17</v>
      </c>
      <c r="H107">
        <v>17.600000000000001</v>
      </c>
      <c r="I107">
        <v>2.7</v>
      </c>
      <c r="J107">
        <v>36.209136000000001</v>
      </c>
      <c r="K107">
        <v>-5.383197</v>
      </c>
    </row>
    <row r="108" spans="1:11" x14ac:dyDescent="0.3">
      <c r="A108">
        <v>1103302</v>
      </c>
      <c r="B108" t="s">
        <v>576</v>
      </c>
      <c r="C108">
        <v>2</v>
      </c>
      <c r="D108">
        <v>11310</v>
      </c>
      <c r="E108">
        <v>9758</v>
      </c>
      <c r="F108" t="s">
        <v>533</v>
      </c>
      <c r="G108">
        <v>19.2</v>
      </c>
      <c r="H108">
        <v>15.6</v>
      </c>
      <c r="I108">
        <v>2.7</v>
      </c>
      <c r="J108">
        <v>36.213352999999998</v>
      </c>
      <c r="K108">
        <v>-5.3872119999999999</v>
      </c>
    </row>
    <row r="109" spans="1:11" x14ac:dyDescent="0.3">
      <c r="A109">
        <v>1103303</v>
      </c>
      <c r="B109" t="s">
        <v>576</v>
      </c>
      <c r="C109">
        <v>3</v>
      </c>
      <c r="D109">
        <v>11310</v>
      </c>
      <c r="E109">
        <v>4600</v>
      </c>
      <c r="F109" t="s">
        <v>527</v>
      </c>
      <c r="G109">
        <v>20.5</v>
      </c>
      <c r="H109">
        <v>15.7</v>
      </c>
      <c r="I109">
        <v>2.7</v>
      </c>
      <c r="J109">
        <v>36.175894999999997</v>
      </c>
      <c r="K109">
        <v>-5.3736379999999997</v>
      </c>
    </row>
    <row r="110" spans="1:11" x14ac:dyDescent="0.3">
      <c r="A110">
        <v>1103304</v>
      </c>
      <c r="B110" t="s">
        <v>576</v>
      </c>
      <c r="C110">
        <v>4</v>
      </c>
      <c r="D110">
        <v>11311</v>
      </c>
      <c r="E110">
        <v>5827</v>
      </c>
      <c r="F110" t="s">
        <v>527</v>
      </c>
      <c r="G110">
        <v>20</v>
      </c>
      <c r="H110">
        <v>14.5</v>
      </c>
      <c r="I110">
        <v>2.9</v>
      </c>
      <c r="J110">
        <v>36.208354</v>
      </c>
      <c r="K110">
        <v>-5.4203830000000002</v>
      </c>
    </row>
    <row r="111" spans="1:11" x14ac:dyDescent="0.3">
      <c r="A111">
        <v>1103305</v>
      </c>
      <c r="B111" t="s">
        <v>576</v>
      </c>
      <c r="C111">
        <v>5</v>
      </c>
      <c r="D111">
        <v>11311</v>
      </c>
      <c r="E111">
        <v>10343</v>
      </c>
      <c r="F111" t="s">
        <v>531</v>
      </c>
      <c r="G111">
        <v>19.899999999999999</v>
      </c>
      <c r="H111">
        <v>16.100000000000001</v>
      </c>
      <c r="I111">
        <v>2.6</v>
      </c>
      <c r="J111">
        <v>36.301875000000003</v>
      </c>
      <c r="K111">
        <v>-5.3304970000000003</v>
      </c>
    </row>
    <row r="112" spans="1:11" x14ac:dyDescent="0.3">
      <c r="A112">
        <v>1103201</v>
      </c>
      <c r="B112" t="s">
        <v>575</v>
      </c>
      <c r="C112">
        <v>1</v>
      </c>
      <c r="D112">
        <v>11540</v>
      </c>
      <c r="E112">
        <v>28166</v>
      </c>
      <c r="F112" t="s">
        <v>536</v>
      </c>
      <c r="G112">
        <v>19.7</v>
      </c>
      <c r="H112">
        <v>15.5</v>
      </c>
      <c r="I112">
        <v>2.8</v>
      </c>
      <c r="J112">
        <v>36.773637999999998</v>
      </c>
      <c r="K112">
        <v>-6.343674</v>
      </c>
    </row>
    <row r="113" spans="1:11" x14ac:dyDescent="0.3">
      <c r="A113">
        <v>1103202</v>
      </c>
      <c r="B113" t="s">
        <v>575</v>
      </c>
      <c r="C113">
        <v>2</v>
      </c>
      <c r="D113">
        <v>11540</v>
      </c>
      <c r="E113">
        <v>8080</v>
      </c>
      <c r="F113" t="s">
        <v>527</v>
      </c>
      <c r="G113">
        <v>18.2</v>
      </c>
      <c r="H113">
        <v>17.5</v>
      </c>
      <c r="I113">
        <v>2.7</v>
      </c>
      <c r="J113">
        <v>36.773567</v>
      </c>
      <c r="K113">
        <v>-6.3551890000000002</v>
      </c>
    </row>
    <row r="114" spans="1:11" x14ac:dyDescent="0.3">
      <c r="A114">
        <v>1103203</v>
      </c>
      <c r="B114" t="s">
        <v>575</v>
      </c>
      <c r="C114">
        <v>3</v>
      </c>
      <c r="D114">
        <v>11540</v>
      </c>
      <c r="E114">
        <v>7873</v>
      </c>
      <c r="F114" t="s">
        <v>532</v>
      </c>
      <c r="G114">
        <v>13.7</v>
      </c>
      <c r="H114">
        <v>27.8</v>
      </c>
      <c r="I114">
        <v>2.2999999999999998</v>
      </c>
      <c r="J114">
        <v>36.779454000000001</v>
      </c>
      <c r="K114">
        <v>-6.3544219999999996</v>
      </c>
    </row>
    <row r="115" spans="1:11" x14ac:dyDescent="0.3">
      <c r="A115">
        <v>1103204</v>
      </c>
      <c r="B115" t="s">
        <v>575</v>
      </c>
      <c r="C115">
        <v>4</v>
      </c>
      <c r="D115">
        <v>11540</v>
      </c>
      <c r="E115">
        <v>3482</v>
      </c>
      <c r="F115" t="s">
        <v>527</v>
      </c>
      <c r="G115">
        <v>17.899999999999999</v>
      </c>
      <c r="H115">
        <v>19.5</v>
      </c>
      <c r="I115">
        <v>2.4</v>
      </c>
      <c r="J115">
        <v>36.777434</v>
      </c>
      <c r="K115">
        <v>-6.353656</v>
      </c>
    </row>
    <row r="116" spans="1:11" x14ac:dyDescent="0.3">
      <c r="A116">
        <v>1103205</v>
      </c>
      <c r="B116" t="s">
        <v>575</v>
      </c>
      <c r="C116">
        <v>5</v>
      </c>
      <c r="D116">
        <v>11540</v>
      </c>
      <c r="E116">
        <v>21807</v>
      </c>
      <c r="F116" t="s">
        <v>535</v>
      </c>
      <c r="G116">
        <v>19.600000000000001</v>
      </c>
      <c r="H116">
        <v>16.899999999999999</v>
      </c>
      <c r="I116">
        <v>2.8</v>
      </c>
      <c r="J116">
        <v>36.782496000000002</v>
      </c>
      <c r="K116">
        <v>-6.3500129999999997</v>
      </c>
    </row>
    <row r="117" spans="1:11" x14ac:dyDescent="0.3">
      <c r="A117">
        <v>1103401</v>
      </c>
      <c r="B117" t="s">
        <v>577</v>
      </c>
      <c r="C117">
        <v>1</v>
      </c>
      <c r="D117">
        <v>11692</v>
      </c>
      <c r="E117">
        <v>2608</v>
      </c>
      <c r="F117" t="s">
        <v>527</v>
      </c>
      <c r="G117">
        <v>14.5</v>
      </c>
      <c r="H117">
        <v>19.8</v>
      </c>
      <c r="I117">
        <v>2.2999999999999998</v>
      </c>
      <c r="J117">
        <v>36.870007000000001</v>
      </c>
      <c r="K117">
        <v>-5.2213440000000002</v>
      </c>
    </row>
    <row r="118" spans="1:11" x14ac:dyDescent="0.3">
      <c r="A118">
        <v>1103501</v>
      </c>
      <c r="B118" t="s">
        <v>578</v>
      </c>
      <c r="C118">
        <v>1</v>
      </c>
      <c r="D118">
        <v>11380</v>
      </c>
      <c r="E118">
        <v>13904</v>
      </c>
      <c r="F118" t="s">
        <v>533</v>
      </c>
      <c r="G118">
        <v>16.5</v>
      </c>
      <c r="H118">
        <v>16.7</v>
      </c>
      <c r="I118">
        <v>2.5</v>
      </c>
      <c r="J118">
        <v>36.011964999999996</v>
      </c>
      <c r="K118">
        <v>-5.6029470000000003</v>
      </c>
    </row>
    <row r="119" spans="1:11" x14ac:dyDescent="0.3">
      <c r="A119">
        <v>1103502</v>
      </c>
      <c r="B119" t="s">
        <v>578</v>
      </c>
      <c r="C119">
        <v>2</v>
      </c>
      <c r="D119">
        <v>11380</v>
      </c>
      <c r="E119">
        <v>4352</v>
      </c>
      <c r="F119" t="s">
        <v>528</v>
      </c>
      <c r="G119">
        <v>15.1</v>
      </c>
      <c r="H119">
        <v>18.3</v>
      </c>
      <c r="I119">
        <v>2.4</v>
      </c>
      <c r="J119">
        <v>36.071190000000001</v>
      </c>
      <c r="K119">
        <v>-5.5899710000000002</v>
      </c>
    </row>
    <row r="120" spans="1:11" x14ac:dyDescent="0.3">
      <c r="A120">
        <v>1103601</v>
      </c>
      <c r="B120" t="s">
        <v>579</v>
      </c>
      <c r="C120">
        <v>1</v>
      </c>
      <c r="D120">
        <v>11691</v>
      </c>
      <c r="E120">
        <v>800</v>
      </c>
      <c r="F120" t="s">
        <v>529</v>
      </c>
      <c r="G120">
        <v>14.5</v>
      </c>
      <c r="H120">
        <v>24</v>
      </c>
      <c r="I120">
        <v>2.1</v>
      </c>
      <c r="J120">
        <v>36.910533999999998</v>
      </c>
      <c r="K120">
        <v>-5.2314790000000002</v>
      </c>
    </row>
    <row r="121" spans="1:11" x14ac:dyDescent="0.3">
      <c r="A121">
        <v>1103701</v>
      </c>
      <c r="B121" t="s">
        <v>580</v>
      </c>
      <c r="C121">
        <v>1</v>
      </c>
      <c r="D121">
        <v>11560</v>
      </c>
      <c r="E121">
        <v>7021</v>
      </c>
      <c r="F121" t="s">
        <v>533</v>
      </c>
      <c r="G121">
        <v>17.7</v>
      </c>
      <c r="H121">
        <v>19.7</v>
      </c>
      <c r="I121">
        <v>2.6</v>
      </c>
      <c r="J121">
        <v>36.864671000000001</v>
      </c>
      <c r="K121">
        <v>-6.1505140000000003</v>
      </c>
    </row>
    <row r="122" spans="1:11" x14ac:dyDescent="0.3">
      <c r="A122">
        <v>1103801</v>
      </c>
      <c r="B122" t="s">
        <v>581</v>
      </c>
      <c r="C122">
        <v>1</v>
      </c>
      <c r="D122">
        <v>11600</v>
      </c>
      <c r="E122">
        <v>16247</v>
      </c>
      <c r="F122" t="s">
        <v>532</v>
      </c>
      <c r="G122">
        <v>16.399999999999999</v>
      </c>
      <c r="H122">
        <v>20.7</v>
      </c>
      <c r="I122">
        <v>2.5</v>
      </c>
      <c r="J122">
        <v>36.680138999999997</v>
      </c>
      <c r="K122">
        <v>-5.4449839999999998</v>
      </c>
    </row>
    <row r="123" spans="1:11" x14ac:dyDescent="0.3">
      <c r="A123">
        <v>1103901</v>
      </c>
      <c r="B123" t="s">
        <v>582</v>
      </c>
      <c r="C123">
        <v>1</v>
      </c>
      <c r="D123">
        <v>11150</v>
      </c>
      <c r="E123">
        <v>1247</v>
      </c>
      <c r="F123" t="s">
        <v>526</v>
      </c>
      <c r="G123">
        <v>9.4</v>
      </c>
      <c r="H123">
        <v>27.7</v>
      </c>
      <c r="I123">
        <v>2.1</v>
      </c>
      <c r="J123">
        <v>36.2866</v>
      </c>
      <c r="K123">
        <v>-6.0012689999999997</v>
      </c>
    </row>
    <row r="124" spans="1:11" x14ac:dyDescent="0.3">
      <c r="A124">
        <v>1103902</v>
      </c>
      <c r="B124" t="s">
        <v>582</v>
      </c>
      <c r="C124">
        <v>2</v>
      </c>
      <c r="D124">
        <v>11150</v>
      </c>
      <c r="E124">
        <v>6605</v>
      </c>
      <c r="F124" t="s">
        <v>529</v>
      </c>
      <c r="G124">
        <v>16</v>
      </c>
      <c r="H124">
        <v>18.7</v>
      </c>
      <c r="I124">
        <v>2.7</v>
      </c>
      <c r="J124">
        <v>36.253132000000001</v>
      </c>
      <c r="K124">
        <v>-5.9633380000000002</v>
      </c>
    </row>
    <row r="125" spans="1:11" x14ac:dyDescent="0.3">
      <c r="A125">
        <v>1103903</v>
      </c>
      <c r="B125" t="s">
        <v>582</v>
      </c>
      <c r="C125">
        <v>3</v>
      </c>
      <c r="D125">
        <v>11150</v>
      </c>
      <c r="E125">
        <v>5156</v>
      </c>
      <c r="F125" t="s">
        <v>526</v>
      </c>
      <c r="G125">
        <v>19.5</v>
      </c>
      <c r="H125">
        <v>14.8</v>
      </c>
      <c r="I125">
        <v>2.6</v>
      </c>
      <c r="J125">
        <v>36.238979999999998</v>
      </c>
      <c r="K125">
        <v>-6.0484499999999999</v>
      </c>
    </row>
    <row r="126" spans="1:11" x14ac:dyDescent="0.3">
      <c r="A126">
        <v>1104001</v>
      </c>
      <c r="B126" t="s">
        <v>583</v>
      </c>
      <c r="C126">
        <v>1</v>
      </c>
      <c r="D126">
        <v>11611</v>
      </c>
      <c r="E126">
        <v>467</v>
      </c>
      <c r="F126" t="s">
        <v>533</v>
      </c>
      <c r="G126">
        <v>15.6</v>
      </c>
      <c r="H126">
        <v>22.9</v>
      </c>
      <c r="I126">
        <v>2.1</v>
      </c>
      <c r="J126">
        <v>36.686332</v>
      </c>
      <c r="K126">
        <v>-5.3671249999999997</v>
      </c>
    </row>
    <row r="127" spans="1:11" x14ac:dyDescent="0.3">
      <c r="A127">
        <v>1104101</v>
      </c>
      <c r="B127" t="s">
        <v>584</v>
      </c>
      <c r="C127">
        <v>1</v>
      </c>
      <c r="D127">
        <v>11650</v>
      </c>
      <c r="E127">
        <v>3672</v>
      </c>
      <c r="F127" t="s">
        <v>527</v>
      </c>
      <c r="G127">
        <v>16</v>
      </c>
      <c r="H127">
        <v>16.7</v>
      </c>
      <c r="I127">
        <v>2.5</v>
      </c>
      <c r="J127">
        <v>36.867412999999999</v>
      </c>
      <c r="K127">
        <v>-5.644355</v>
      </c>
    </row>
    <row r="128" spans="1:11" x14ac:dyDescent="0.3">
      <c r="A128">
        <v>1104102</v>
      </c>
      <c r="B128" t="s">
        <v>584</v>
      </c>
      <c r="C128">
        <v>2</v>
      </c>
      <c r="D128">
        <v>11650</v>
      </c>
      <c r="E128">
        <v>8555</v>
      </c>
      <c r="F128" t="s">
        <v>529</v>
      </c>
      <c r="G128">
        <v>18</v>
      </c>
      <c r="H128">
        <v>17</v>
      </c>
      <c r="I128">
        <v>2.5</v>
      </c>
      <c r="J128">
        <v>36.862226</v>
      </c>
      <c r="K128">
        <v>-5.6444390000000002</v>
      </c>
    </row>
    <row r="129" spans="1:11" x14ac:dyDescent="0.3">
      <c r="A129">
        <v>1104201</v>
      </c>
      <c r="B129" t="s">
        <v>588</v>
      </c>
      <c r="C129">
        <v>1</v>
      </c>
      <c r="D129">
        <v>11688</v>
      </c>
      <c r="E129">
        <v>1311</v>
      </c>
      <c r="F129" t="s">
        <v>528</v>
      </c>
      <c r="G129">
        <v>12.1</v>
      </c>
      <c r="H129">
        <v>23</v>
      </c>
      <c r="I129">
        <v>2.2000000000000002</v>
      </c>
      <c r="J129">
        <v>36.829881</v>
      </c>
      <c r="K129">
        <v>-5.4449170000000002</v>
      </c>
    </row>
  </sheetData>
  <autoFilter ref="A1:I129" xr:uid="{D6162E07-1A61-4741-B97D-8CAE4A78FA51}">
    <sortState xmlns:xlrd2="http://schemas.microsoft.com/office/spreadsheetml/2017/richdata2" ref="A2:I129">
      <sortCondition ref="B1:B12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FD064-AF93-446E-BF15-0A7EBE8D3AB6}">
  <dimension ref="A1:L179"/>
  <sheetViews>
    <sheetView workbookViewId="0">
      <selection activeCell="F1" sqref="F1:G179"/>
    </sheetView>
  </sheetViews>
  <sheetFormatPr baseColWidth="10" defaultRowHeight="14.4" x14ac:dyDescent="0.3"/>
  <cols>
    <col min="1" max="1" width="34" customWidth="1"/>
    <col min="2" max="2" width="9" hidden="1" customWidth="1"/>
    <col min="3" max="3" width="0" hidden="1" customWidth="1"/>
    <col min="6" max="6" width="16.21875" customWidth="1"/>
    <col min="8" max="8" width="14.5546875" customWidth="1"/>
    <col min="9" max="9" width="20" customWidth="1"/>
    <col min="10" max="10" width="14.5546875" customWidth="1"/>
  </cols>
  <sheetData>
    <row r="1" spans="1:5" ht="15" thickBot="1" x14ac:dyDescent="0.35">
      <c r="A1" s="2" t="s">
        <v>4</v>
      </c>
      <c r="B1" s="2">
        <v>1</v>
      </c>
      <c r="C1" s="2">
        <v>14430</v>
      </c>
      <c r="D1" s="9">
        <v>4088</v>
      </c>
      <c r="E1" t="s">
        <v>4</v>
      </c>
    </row>
    <row r="2" spans="1:5" ht="15" thickBot="1" x14ac:dyDescent="0.35">
      <c r="A2" s="2" t="s">
        <v>5</v>
      </c>
      <c r="B2" s="2">
        <v>1</v>
      </c>
      <c r="C2" s="2">
        <v>14520</v>
      </c>
      <c r="D2" s="9">
        <v>2982</v>
      </c>
      <c r="E2" t="s">
        <v>5</v>
      </c>
    </row>
    <row r="3" spans="1:5" ht="15" thickBot="1" x14ac:dyDescent="0.35">
      <c r="A3" s="2" t="s">
        <v>5</v>
      </c>
      <c r="B3" s="2">
        <v>2</v>
      </c>
      <c r="C3" s="2">
        <v>14520</v>
      </c>
      <c r="D3" s="9">
        <v>3979</v>
      </c>
      <c r="E3" t="s">
        <v>5</v>
      </c>
    </row>
    <row r="4" spans="1:5" ht="15" thickBot="1" x14ac:dyDescent="0.35">
      <c r="A4" s="2" t="s">
        <v>5</v>
      </c>
      <c r="B4" s="2">
        <v>3</v>
      </c>
      <c r="C4" s="2">
        <v>14520</v>
      </c>
      <c r="D4" s="9">
        <v>6136</v>
      </c>
      <c r="E4" t="s">
        <v>5</v>
      </c>
    </row>
    <row r="5" spans="1:5" ht="15" thickBot="1" x14ac:dyDescent="0.35">
      <c r="A5" s="2" t="s">
        <v>6</v>
      </c>
      <c r="B5" s="2">
        <v>1</v>
      </c>
      <c r="C5" s="2">
        <v>14480</v>
      </c>
      <c r="D5" s="9">
        <v>1422</v>
      </c>
      <c r="E5" t="s">
        <v>6</v>
      </c>
    </row>
    <row r="6" spans="1:5" ht="15" thickBot="1" x14ac:dyDescent="0.35">
      <c r="A6" s="2" t="s">
        <v>7</v>
      </c>
      <c r="B6" s="2">
        <v>1</v>
      </c>
      <c r="C6" s="2">
        <v>14812</v>
      </c>
      <c r="D6" s="9">
        <v>1530</v>
      </c>
      <c r="E6" t="s">
        <v>7</v>
      </c>
    </row>
    <row r="7" spans="1:5" ht="15" thickBot="1" x14ac:dyDescent="0.35">
      <c r="A7" s="2" t="s">
        <v>7</v>
      </c>
      <c r="B7" s="2">
        <v>2</v>
      </c>
      <c r="C7" s="2">
        <v>14812</v>
      </c>
      <c r="D7" s="9">
        <v>795</v>
      </c>
      <c r="E7" t="s">
        <v>7</v>
      </c>
    </row>
    <row r="8" spans="1:5" ht="15" thickBot="1" x14ac:dyDescent="0.35">
      <c r="A8" s="2" t="s">
        <v>8</v>
      </c>
      <c r="B8" s="2">
        <v>1</v>
      </c>
      <c r="C8" s="2">
        <v>14720</v>
      </c>
      <c r="D8" s="9">
        <v>7958</v>
      </c>
      <c r="E8" t="s">
        <v>8</v>
      </c>
    </row>
    <row r="9" spans="1:5" ht="15" thickBot="1" x14ac:dyDescent="0.35">
      <c r="A9" s="2" t="s">
        <v>9</v>
      </c>
      <c r="B9" s="2">
        <v>1</v>
      </c>
      <c r="C9" s="2">
        <v>14450</v>
      </c>
      <c r="D9" s="9">
        <v>1466</v>
      </c>
      <c r="E9" t="s">
        <v>9</v>
      </c>
    </row>
    <row r="10" spans="1:5" ht="15" thickBot="1" x14ac:dyDescent="0.35">
      <c r="A10" s="2" t="s">
        <v>10</v>
      </c>
      <c r="B10" s="2">
        <v>1</v>
      </c>
      <c r="C10" s="2">
        <v>14850</v>
      </c>
      <c r="D10" s="9">
        <v>3787</v>
      </c>
      <c r="E10" t="s">
        <v>10</v>
      </c>
    </row>
    <row r="11" spans="1:5" ht="15" thickBot="1" x14ac:dyDescent="0.35">
      <c r="A11" s="2" t="s">
        <v>10</v>
      </c>
      <c r="B11" s="2">
        <v>2</v>
      </c>
      <c r="C11" s="2">
        <v>14850</v>
      </c>
      <c r="D11" s="9">
        <v>1469</v>
      </c>
      <c r="E11" t="s">
        <v>10</v>
      </c>
    </row>
    <row r="12" spans="1:5" ht="15" thickBot="1" x14ac:dyDescent="0.35">
      <c r="A12" s="2" t="s">
        <v>10</v>
      </c>
      <c r="B12" s="2">
        <v>3</v>
      </c>
      <c r="C12" s="2">
        <v>14850</v>
      </c>
      <c r="D12" s="9">
        <v>10096</v>
      </c>
      <c r="E12" t="s">
        <v>10</v>
      </c>
    </row>
    <row r="13" spans="1:5" ht="15" thickBot="1" x14ac:dyDescent="0.35">
      <c r="A13" s="2" t="s">
        <v>10</v>
      </c>
      <c r="B13" s="2">
        <v>4</v>
      </c>
      <c r="C13" s="2">
        <v>14850</v>
      </c>
      <c r="D13" s="9">
        <v>1729</v>
      </c>
      <c r="E13" t="s">
        <v>10</v>
      </c>
    </row>
    <row r="14" spans="1:5" ht="15" thickBot="1" x14ac:dyDescent="0.35">
      <c r="A14" s="2" t="s">
        <v>10</v>
      </c>
      <c r="B14" s="2">
        <v>5</v>
      </c>
      <c r="C14" s="2">
        <v>14850</v>
      </c>
      <c r="D14" s="9">
        <v>1058</v>
      </c>
      <c r="E14" t="s">
        <v>10</v>
      </c>
    </row>
    <row r="15" spans="1:5" ht="15" thickBot="1" x14ac:dyDescent="0.35">
      <c r="A15" s="2" t="s">
        <v>11</v>
      </c>
      <c r="B15" s="2">
        <v>1</v>
      </c>
      <c r="C15" s="2">
        <v>14280</v>
      </c>
      <c r="D15" s="9">
        <v>611</v>
      </c>
      <c r="E15" t="s">
        <v>11</v>
      </c>
    </row>
    <row r="16" spans="1:5" ht="15" thickBot="1" x14ac:dyDescent="0.35">
      <c r="A16" s="2" t="s">
        <v>11</v>
      </c>
      <c r="B16" s="2">
        <v>2</v>
      </c>
      <c r="C16" s="2">
        <v>14280</v>
      </c>
      <c r="D16" s="9">
        <v>792</v>
      </c>
      <c r="E16" t="s">
        <v>11</v>
      </c>
    </row>
    <row r="17" spans="1:5" ht="15" thickBot="1" x14ac:dyDescent="0.35">
      <c r="A17" s="2" t="s">
        <v>11</v>
      </c>
      <c r="B17" s="2">
        <v>3</v>
      </c>
      <c r="C17" s="2">
        <v>14280</v>
      </c>
      <c r="D17" s="9">
        <v>675</v>
      </c>
      <c r="E17" t="s">
        <v>11</v>
      </c>
    </row>
    <row r="18" spans="1:5" ht="15" thickBot="1" x14ac:dyDescent="0.35">
      <c r="A18" s="2" t="s">
        <v>11</v>
      </c>
      <c r="B18" s="2">
        <v>4</v>
      </c>
      <c r="C18" s="2">
        <v>14280</v>
      </c>
      <c r="D18" s="9">
        <v>969</v>
      </c>
      <c r="E18" t="s">
        <v>11</v>
      </c>
    </row>
    <row r="19" spans="1:5" ht="15" thickBot="1" x14ac:dyDescent="0.35">
      <c r="A19" s="2" t="s">
        <v>12</v>
      </c>
      <c r="B19" s="2">
        <v>1</v>
      </c>
      <c r="C19" s="2">
        <v>14240</v>
      </c>
      <c r="D19" s="9">
        <v>1209</v>
      </c>
      <c r="E19" t="s">
        <v>12</v>
      </c>
    </row>
    <row r="20" spans="1:5" ht="15" thickBot="1" x14ac:dyDescent="0.35">
      <c r="A20" s="2" t="s">
        <v>12</v>
      </c>
      <c r="B20" s="2">
        <v>2</v>
      </c>
      <c r="C20" s="2">
        <v>14240</v>
      </c>
      <c r="D20" s="9">
        <v>730</v>
      </c>
      <c r="E20" t="s">
        <v>12</v>
      </c>
    </row>
    <row r="21" spans="1:5" ht="15" thickBot="1" x14ac:dyDescent="0.35">
      <c r="A21" s="2" t="s">
        <v>12</v>
      </c>
      <c r="B21" s="2">
        <v>3</v>
      </c>
      <c r="C21" s="2">
        <v>14240</v>
      </c>
      <c r="D21" s="9">
        <v>865</v>
      </c>
      <c r="E21" t="s">
        <v>12</v>
      </c>
    </row>
    <row r="22" spans="1:5" ht="15" thickBot="1" x14ac:dyDescent="0.35">
      <c r="A22" s="2" t="s">
        <v>13</v>
      </c>
      <c r="B22" s="2">
        <v>1</v>
      </c>
      <c r="C22" s="2">
        <v>14910</v>
      </c>
      <c r="D22" s="9">
        <v>1412</v>
      </c>
      <c r="E22" t="s">
        <v>13</v>
      </c>
    </row>
    <row r="23" spans="1:5" ht="15" thickBot="1" x14ac:dyDescent="0.35">
      <c r="A23" s="2" t="s">
        <v>13</v>
      </c>
      <c r="B23" s="2">
        <v>2</v>
      </c>
      <c r="C23" s="2">
        <v>14910</v>
      </c>
      <c r="D23" s="9">
        <v>2336</v>
      </c>
      <c r="E23" t="s">
        <v>13</v>
      </c>
    </row>
    <row r="24" spans="1:5" ht="15" thickBot="1" x14ac:dyDescent="0.35">
      <c r="A24" s="2" t="s">
        <v>13</v>
      </c>
      <c r="B24" s="2">
        <v>3</v>
      </c>
      <c r="C24" s="2">
        <v>14910</v>
      </c>
      <c r="D24" s="9">
        <v>1136</v>
      </c>
      <c r="E24" t="s">
        <v>13</v>
      </c>
    </row>
    <row r="25" spans="1:5" ht="15" thickBot="1" x14ac:dyDescent="0.35">
      <c r="A25" s="2" t="s">
        <v>14</v>
      </c>
      <c r="B25" s="2">
        <v>1</v>
      </c>
      <c r="C25" s="2">
        <v>14208</v>
      </c>
      <c r="D25" s="9">
        <v>635</v>
      </c>
      <c r="E25" t="s">
        <v>14</v>
      </c>
    </row>
    <row r="26" spans="1:5" ht="15" thickBot="1" x14ac:dyDescent="0.35">
      <c r="A26" s="2" t="s">
        <v>15</v>
      </c>
      <c r="B26" s="2">
        <v>1</v>
      </c>
      <c r="C26" s="2">
        <v>14650</v>
      </c>
      <c r="D26" s="9">
        <v>1942</v>
      </c>
      <c r="E26" t="s">
        <v>15</v>
      </c>
    </row>
    <row r="27" spans="1:5" ht="15" thickBot="1" x14ac:dyDescent="0.35">
      <c r="A27" s="2" t="s">
        <v>15</v>
      </c>
      <c r="B27" s="2">
        <v>2</v>
      </c>
      <c r="C27" s="2">
        <v>14650</v>
      </c>
      <c r="D27" s="9">
        <v>1533</v>
      </c>
      <c r="E27" t="s">
        <v>15</v>
      </c>
    </row>
    <row r="28" spans="1:5" ht="15" thickBot="1" x14ac:dyDescent="0.35">
      <c r="A28" s="2" t="s">
        <v>15</v>
      </c>
      <c r="B28" s="2">
        <v>3</v>
      </c>
      <c r="C28" s="2">
        <v>14650</v>
      </c>
      <c r="D28" s="9">
        <v>1781</v>
      </c>
      <c r="E28" t="s">
        <v>15</v>
      </c>
    </row>
    <row r="29" spans="1:5" ht="15" thickBot="1" x14ac:dyDescent="0.35">
      <c r="A29" s="2" t="s">
        <v>15</v>
      </c>
      <c r="B29" s="2">
        <v>4</v>
      </c>
      <c r="C29" s="2">
        <v>14650</v>
      </c>
      <c r="D29" s="9">
        <v>1786</v>
      </c>
      <c r="E29" t="s">
        <v>15</v>
      </c>
    </row>
    <row r="30" spans="1:5" ht="15" thickBot="1" x14ac:dyDescent="0.35">
      <c r="A30" s="2" t="s">
        <v>16</v>
      </c>
      <c r="B30" s="2">
        <v>1</v>
      </c>
      <c r="C30" s="2">
        <v>14940</v>
      </c>
      <c r="D30" s="9">
        <v>9820</v>
      </c>
      <c r="E30" t="s">
        <v>16</v>
      </c>
    </row>
    <row r="31" spans="1:5" ht="15" thickBot="1" x14ac:dyDescent="0.35">
      <c r="A31" s="2" t="s">
        <v>16</v>
      </c>
      <c r="B31" s="2">
        <v>2</v>
      </c>
      <c r="C31" s="2">
        <v>14940</v>
      </c>
      <c r="D31" s="9">
        <v>4007</v>
      </c>
      <c r="E31" t="s">
        <v>16</v>
      </c>
    </row>
    <row r="32" spans="1:5" ht="15" thickBot="1" x14ac:dyDescent="0.35">
      <c r="A32" s="2" t="s">
        <v>16</v>
      </c>
      <c r="B32" s="2">
        <v>3</v>
      </c>
      <c r="C32" s="2">
        <v>14940</v>
      </c>
      <c r="D32" s="9">
        <v>4363</v>
      </c>
      <c r="E32" t="s">
        <v>16</v>
      </c>
    </row>
    <row r="33" spans="1:5" ht="15" thickBot="1" x14ac:dyDescent="0.35">
      <c r="A33" s="2" t="s">
        <v>16</v>
      </c>
      <c r="B33" s="2">
        <v>4</v>
      </c>
      <c r="C33" s="2">
        <v>14940</v>
      </c>
      <c r="D33" s="9">
        <v>1679</v>
      </c>
      <c r="E33" t="s">
        <v>16</v>
      </c>
    </row>
    <row r="34" spans="1:5" ht="15" thickBot="1" x14ac:dyDescent="0.35">
      <c r="A34" s="2" t="s">
        <v>17</v>
      </c>
      <c r="B34" s="2">
        <v>1</v>
      </c>
      <c r="C34" s="2">
        <v>14660</v>
      </c>
      <c r="D34" s="9">
        <v>1337</v>
      </c>
      <c r="E34" t="s">
        <v>17</v>
      </c>
    </row>
    <row r="35" spans="1:5" ht="15" thickBot="1" x14ac:dyDescent="0.35">
      <c r="A35" s="2" t="s">
        <v>17</v>
      </c>
      <c r="B35" s="2">
        <v>2</v>
      </c>
      <c r="C35" s="2">
        <v>14660</v>
      </c>
      <c r="D35" s="9">
        <v>1460</v>
      </c>
      <c r="E35" t="s">
        <v>17</v>
      </c>
    </row>
    <row r="36" spans="1:5" ht="15" thickBot="1" x14ac:dyDescent="0.35">
      <c r="A36" s="2" t="s">
        <v>18</v>
      </c>
      <c r="B36" s="2">
        <v>1</v>
      </c>
      <c r="C36" s="2">
        <v>14810</v>
      </c>
      <c r="D36" s="9">
        <v>2308</v>
      </c>
      <c r="E36" t="s">
        <v>18</v>
      </c>
    </row>
    <row r="37" spans="1:5" ht="15" thickBot="1" x14ac:dyDescent="0.35">
      <c r="A37" s="2" t="s">
        <v>19</v>
      </c>
      <c r="B37" s="2">
        <v>1</v>
      </c>
      <c r="C37" s="2">
        <v>14445</v>
      </c>
      <c r="D37" s="9">
        <v>1425</v>
      </c>
      <c r="E37" t="s">
        <v>19</v>
      </c>
    </row>
    <row r="38" spans="1:5" ht="15" thickBot="1" x14ac:dyDescent="0.35">
      <c r="A38" s="2" t="s">
        <v>20</v>
      </c>
      <c r="B38" s="2">
        <v>1</v>
      </c>
      <c r="C38" s="2">
        <v>14100</v>
      </c>
      <c r="D38" s="9">
        <v>10102</v>
      </c>
      <c r="E38" t="s">
        <v>20</v>
      </c>
    </row>
    <row r="39" spans="1:5" ht="15" thickBot="1" x14ac:dyDescent="0.35">
      <c r="A39" s="2" t="s">
        <v>20</v>
      </c>
      <c r="B39" s="2">
        <v>2</v>
      </c>
      <c r="C39" s="2">
        <v>14100</v>
      </c>
      <c r="D39" s="9">
        <v>2711</v>
      </c>
      <c r="E39" t="s">
        <v>20</v>
      </c>
    </row>
    <row r="40" spans="1:5" ht="15" thickBot="1" x14ac:dyDescent="0.35">
      <c r="A40" s="2" t="s">
        <v>20</v>
      </c>
      <c r="B40" s="2">
        <v>3</v>
      </c>
      <c r="C40" s="2">
        <v>14100</v>
      </c>
      <c r="D40" s="9">
        <v>1513</v>
      </c>
      <c r="E40" t="s">
        <v>20</v>
      </c>
    </row>
    <row r="41" spans="1:5" ht="15" thickBot="1" x14ac:dyDescent="0.35">
      <c r="A41" s="2" t="s">
        <v>21</v>
      </c>
      <c r="B41" s="2">
        <v>1</v>
      </c>
      <c r="C41" s="2">
        <v>14620</v>
      </c>
      <c r="D41" s="9">
        <v>1257</v>
      </c>
      <c r="E41" t="s">
        <v>21</v>
      </c>
    </row>
    <row r="42" spans="1:5" ht="15" thickBot="1" x14ac:dyDescent="0.35">
      <c r="A42" s="2" t="s">
        <v>21</v>
      </c>
      <c r="B42" s="2">
        <v>2</v>
      </c>
      <c r="C42" s="2">
        <v>14620</v>
      </c>
      <c r="D42" s="9">
        <v>3066</v>
      </c>
      <c r="E42" t="s">
        <v>21</v>
      </c>
    </row>
    <row r="43" spans="1:5" ht="15" thickBot="1" x14ac:dyDescent="0.35">
      <c r="A43" s="2" t="s">
        <v>22</v>
      </c>
      <c r="B43" s="2">
        <v>1</v>
      </c>
      <c r="C43" s="2">
        <v>14840</v>
      </c>
      <c r="D43" s="9">
        <v>1158</v>
      </c>
      <c r="E43" t="s">
        <v>22</v>
      </c>
    </row>
    <row r="44" spans="1:5" ht="15" thickBot="1" x14ac:dyDescent="0.35">
      <c r="A44" s="2" t="s">
        <v>22</v>
      </c>
      <c r="B44" s="2">
        <v>2</v>
      </c>
      <c r="C44" s="2">
        <v>14840</v>
      </c>
      <c r="D44" s="9">
        <v>1909</v>
      </c>
      <c r="E44" t="s">
        <v>22</v>
      </c>
    </row>
    <row r="45" spans="1:5" ht="15" thickBot="1" x14ac:dyDescent="0.35">
      <c r="A45" s="2" t="s">
        <v>22</v>
      </c>
      <c r="B45" s="2">
        <v>3</v>
      </c>
      <c r="C45" s="2">
        <v>14840</v>
      </c>
      <c r="D45" s="9">
        <v>1367</v>
      </c>
      <c r="E45" t="s">
        <v>22</v>
      </c>
    </row>
    <row r="46" spans="1:5" ht="15" thickBot="1" x14ac:dyDescent="0.35">
      <c r="A46" s="2" t="s">
        <v>22</v>
      </c>
      <c r="B46" s="2">
        <v>4</v>
      </c>
      <c r="C46" s="2">
        <v>14840</v>
      </c>
      <c r="D46" s="9">
        <v>2018</v>
      </c>
      <c r="E46" t="s">
        <v>22</v>
      </c>
    </row>
    <row r="47" spans="1:5" ht="15" thickBot="1" x14ac:dyDescent="0.35">
      <c r="A47" s="2" t="s">
        <v>22</v>
      </c>
      <c r="B47" s="2">
        <v>5</v>
      </c>
      <c r="C47" s="2">
        <v>14840</v>
      </c>
      <c r="D47" s="9">
        <v>1103</v>
      </c>
      <c r="E47" t="s">
        <v>22</v>
      </c>
    </row>
    <row r="48" spans="1:5" ht="15" thickBot="1" x14ac:dyDescent="0.35">
      <c r="A48" s="2" t="s">
        <v>23</v>
      </c>
      <c r="B48" s="2">
        <v>1</v>
      </c>
      <c r="C48" s="2">
        <v>14448</v>
      </c>
      <c r="D48" s="9">
        <v>353</v>
      </c>
      <c r="E48" t="s">
        <v>23</v>
      </c>
    </row>
    <row r="49" spans="1:5" ht="15" thickBot="1" x14ac:dyDescent="0.35">
      <c r="A49" s="2" t="s">
        <v>24</v>
      </c>
      <c r="B49" s="2">
        <v>1</v>
      </c>
      <c r="C49" s="2">
        <v>14001</v>
      </c>
      <c r="D49" s="9">
        <v>42257</v>
      </c>
      <c r="E49" t="s">
        <v>24</v>
      </c>
    </row>
    <row r="50" spans="1:5" ht="15" thickBot="1" x14ac:dyDescent="0.35">
      <c r="A50" s="2" t="s">
        <v>24</v>
      </c>
      <c r="B50" s="2">
        <v>2</v>
      </c>
      <c r="C50" s="2">
        <v>14003</v>
      </c>
      <c r="D50" s="9">
        <v>55293</v>
      </c>
      <c r="E50" t="s">
        <v>24</v>
      </c>
    </row>
    <row r="51" spans="1:5" ht="15" thickBot="1" x14ac:dyDescent="0.35">
      <c r="A51" s="2" t="s">
        <v>24</v>
      </c>
      <c r="B51" s="2">
        <v>3</v>
      </c>
      <c r="C51" s="2">
        <v>14010</v>
      </c>
      <c r="D51" s="9">
        <v>2923</v>
      </c>
      <c r="E51" t="s">
        <v>24</v>
      </c>
    </row>
    <row r="52" spans="1:5" ht="15" thickBot="1" x14ac:dyDescent="0.35">
      <c r="A52" s="2" t="s">
        <v>24</v>
      </c>
      <c r="B52" s="2">
        <v>4</v>
      </c>
      <c r="C52" s="2">
        <v>14007</v>
      </c>
      <c r="D52" s="9">
        <v>5653</v>
      </c>
      <c r="E52" t="s">
        <v>24</v>
      </c>
    </row>
    <row r="53" spans="1:5" ht="15" thickBot="1" x14ac:dyDescent="0.35">
      <c r="A53" s="2" t="s">
        <v>24</v>
      </c>
      <c r="B53" s="2">
        <v>5</v>
      </c>
      <c r="C53" s="2">
        <v>14006</v>
      </c>
      <c r="D53" s="9">
        <v>34038</v>
      </c>
      <c r="E53" t="s">
        <v>24</v>
      </c>
    </row>
    <row r="54" spans="1:5" ht="15" thickBot="1" x14ac:dyDescent="0.35">
      <c r="A54" s="2" t="s">
        <v>24</v>
      </c>
      <c r="B54" s="2">
        <v>6</v>
      </c>
      <c r="C54" s="2">
        <v>14004</v>
      </c>
      <c r="D54" s="9">
        <v>72299</v>
      </c>
      <c r="E54" t="s">
        <v>24</v>
      </c>
    </row>
    <row r="55" spans="1:5" ht="15" thickBot="1" x14ac:dyDescent="0.35">
      <c r="A55" s="2" t="s">
        <v>24</v>
      </c>
      <c r="B55" s="2">
        <v>7</v>
      </c>
      <c r="C55" s="2">
        <v>14005</v>
      </c>
      <c r="D55" s="9">
        <v>4888</v>
      </c>
      <c r="E55" t="s">
        <v>24</v>
      </c>
    </row>
    <row r="56" spans="1:5" ht="15" thickBot="1" x14ac:dyDescent="0.35">
      <c r="A56" s="2" t="s">
        <v>24</v>
      </c>
      <c r="B56" s="2">
        <v>8</v>
      </c>
      <c r="C56" s="2">
        <v>14009</v>
      </c>
      <c r="D56" s="9">
        <v>3597</v>
      </c>
      <c r="E56" t="s">
        <v>24</v>
      </c>
    </row>
    <row r="57" spans="1:5" ht="15" thickBot="1" x14ac:dyDescent="0.35">
      <c r="A57" s="2" t="s">
        <v>24</v>
      </c>
      <c r="B57" s="2">
        <v>9</v>
      </c>
      <c r="C57" s="2">
        <v>14014</v>
      </c>
      <c r="D57" s="9">
        <v>39124</v>
      </c>
      <c r="E57" t="s">
        <v>24</v>
      </c>
    </row>
    <row r="58" spans="1:5" ht="15" thickBot="1" x14ac:dyDescent="0.35">
      <c r="A58" s="2" t="s">
        <v>24</v>
      </c>
      <c r="B58" s="2">
        <v>10</v>
      </c>
      <c r="C58" s="2">
        <v>14012</v>
      </c>
      <c r="D58" s="9">
        <v>56991</v>
      </c>
      <c r="E58" t="s">
        <v>24</v>
      </c>
    </row>
    <row r="59" spans="1:5" ht="15" thickBot="1" x14ac:dyDescent="0.35">
      <c r="A59" s="2" t="s">
        <v>25</v>
      </c>
      <c r="B59" s="2">
        <v>1</v>
      </c>
      <c r="C59" s="2">
        <v>14860</v>
      </c>
      <c r="D59" s="9">
        <v>2962</v>
      </c>
      <c r="E59" t="s">
        <v>25</v>
      </c>
    </row>
    <row r="60" spans="1:5" ht="15" thickBot="1" x14ac:dyDescent="0.35">
      <c r="A60" s="2" t="s">
        <v>25</v>
      </c>
      <c r="B60" s="2">
        <v>2</v>
      </c>
      <c r="C60" s="2">
        <v>14860</v>
      </c>
      <c r="D60" s="9">
        <v>1516</v>
      </c>
      <c r="E60" t="s">
        <v>25</v>
      </c>
    </row>
    <row r="61" spans="1:5" ht="15" thickBot="1" x14ac:dyDescent="0.35">
      <c r="A61" s="2" t="s">
        <v>26</v>
      </c>
      <c r="B61" s="2">
        <v>1</v>
      </c>
      <c r="C61" s="2">
        <v>14460</v>
      </c>
      <c r="D61" s="9">
        <v>1394</v>
      </c>
      <c r="E61" t="s">
        <v>26</v>
      </c>
    </row>
    <row r="62" spans="1:5" ht="15" thickBot="1" x14ac:dyDescent="0.35">
      <c r="A62" s="2" t="s">
        <v>26</v>
      </c>
      <c r="B62" s="2">
        <v>2</v>
      </c>
      <c r="C62" s="2">
        <v>14460</v>
      </c>
      <c r="D62" s="9">
        <v>974</v>
      </c>
      <c r="E62" t="s">
        <v>26</v>
      </c>
    </row>
    <row r="63" spans="1:5" ht="15" thickBot="1" x14ac:dyDescent="0.35">
      <c r="A63" s="2" t="s">
        <v>27</v>
      </c>
      <c r="B63" s="2">
        <v>1</v>
      </c>
      <c r="C63" s="2">
        <v>14913</v>
      </c>
      <c r="D63" s="9">
        <v>1171</v>
      </c>
      <c r="E63" t="s">
        <v>27</v>
      </c>
    </row>
    <row r="64" spans="1:5" ht="15" thickBot="1" x14ac:dyDescent="0.35">
      <c r="A64" s="2" t="s">
        <v>27</v>
      </c>
      <c r="B64" s="2">
        <v>2</v>
      </c>
      <c r="C64" s="2">
        <v>14913</v>
      </c>
      <c r="D64" s="9">
        <v>1067</v>
      </c>
      <c r="E64" t="s">
        <v>27</v>
      </c>
    </row>
    <row r="65" spans="1:12" ht="15" thickBot="1" x14ac:dyDescent="0.35">
      <c r="A65" s="2" t="s">
        <v>28</v>
      </c>
      <c r="B65" s="2">
        <v>1</v>
      </c>
      <c r="C65" s="2">
        <v>14830</v>
      </c>
      <c r="D65" s="9">
        <v>1102</v>
      </c>
      <c r="E65" t="s">
        <v>28</v>
      </c>
    </row>
    <row r="66" spans="1:12" s="13" customFormat="1" ht="15" thickBot="1" x14ac:dyDescent="0.35">
      <c r="A66" s="2" t="s">
        <v>28</v>
      </c>
      <c r="B66" s="2">
        <v>2</v>
      </c>
      <c r="C66" s="2">
        <v>14830</v>
      </c>
      <c r="D66" s="9">
        <v>826</v>
      </c>
      <c r="E66" t="s">
        <v>28</v>
      </c>
      <c r="H66"/>
      <c r="I66"/>
      <c r="J66"/>
      <c r="K66"/>
      <c r="L66"/>
    </row>
    <row r="67" spans="1:12" ht="15" thickBot="1" x14ac:dyDescent="0.35">
      <c r="A67" s="2" t="s">
        <v>28</v>
      </c>
      <c r="B67" s="2">
        <v>3</v>
      </c>
      <c r="C67" s="2">
        <v>14830</v>
      </c>
      <c r="D67" s="9">
        <v>1250</v>
      </c>
      <c r="E67" t="s">
        <v>28</v>
      </c>
      <c r="K67" s="13"/>
      <c r="L67" s="13"/>
    </row>
    <row r="68" spans="1:12" ht="15" thickBot="1" x14ac:dyDescent="0.35">
      <c r="A68" s="2" t="s">
        <v>29</v>
      </c>
      <c r="B68" s="2">
        <v>1</v>
      </c>
      <c r="C68" s="2">
        <v>14220</v>
      </c>
      <c r="D68" s="9">
        <v>719</v>
      </c>
      <c r="E68" t="s">
        <v>29</v>
      </c>
    </row>
    <row r="69" spans="1:12" ht="15" thickBot="1" x14ac:dyDescent="0.35">
      <c r="A69" s="2" t="s">
        <v>29</v>
      </c>
      <c r="B69" s="2">
        <v>2</v>
      </c>
      <c r="C69" s="2">
        <v>14220</v>
      </c>
      <c r="D69" s="9">
        <v>666</v>
      </c>
      <c r="E69" t="s">
        <v>29</v>
      </c>
    </row>
    <row r="70" spans="1:12" ht="15" thickBot="1" x14ac:dyDescent="0.35">
      <c r="A70" s="2" t="s">
        <v>29</v>
      </c>
      <c r="B70" s="2">
        <v>3</v>
      </c>
      <c r="C70" s="2">
        <v>14220</v>
      </c>
      <c r="D70" s="9">
        <v>815</v>
      </c>
      <c r="E70" t="s">
        <v>29</v>
      </c>
    </row>
    <row r="71" spans="1:12" ht="15" thickBot="1" x14ac:dyDescent="0.35">
      <c r="A71" s="2" t="s">
        <v>79</v>
      </c>
      <c r="B71" s="2">
        <v>1</v>
      </c>
      <c r="C71" s="2">
        <v>14110</v>
      </c>
      <c r="D71" s="9">
        <v>1065</v>
      </c>
      <c r="E71" t="s">
        <v>30</v>
      </c>
    </row>
    <row r="72" spans="1:12" ht="15" thickBot="1" x14ac:dyDescent="0.35">
      <c r="A72" s="2" t="s">
        <v>30</v>
      </c>
      <c r="B72" s="2">
        <v>1</v>
      </c>
      <c r="C72" s="2">
        <v>14520</v>
      </c>
      <c r="D72" s="9">
        <v>4544</v>
      </c>
      <c r="E72" t="s">
        <v>30</v>
      </c>
      <c r="J72" s="13"/>
    </row>
    <row r="73" spans="1:12" ht="15" thickBot="1" x14ac:dyDescent="0.35">
      <c r="A73" s="2" t="s">
        <v>30</v>
      </c>
      <c r="B73" s="2">
        <v>2</v>
      </c>
      <c r="C73" s="2">
        <v>14520</v>
      </c>
      <c r="D73" s="9">
        <v>3056</v>
      </c>
      <c r="E73" t="s">
        <v>30</v>
      </c>
    </row>
    <row r="74" spans="1:12" ht="15" thickBot="1" x14ac:dyDescent="0.35">
      <c r="A74" s="2" t="s">
        <v>30</v>
      </c>
      <c r="B74" s="2">
        <v>3</v>
      </c>
      <c r="C74" s="2">
        <v>14520</v>
      </c>
      <c r="D74" s="9">
        <v>2035</v>
      </c>
      <c r="E74" t="s">
        <v>522</v>
      </c>
    </row>
    <row r="75" spans="1:12" ht="15" thickBot="1" x14ac:dyDescent="0.35">
      <c r="A75" s="2" t="s">
        <v>31</v>
      </c>
      <c r="B75" s="2">
        <v>1</v>
      </c>
      <c r="C75" s="2">
        <v>14480</v>
      </c>
      <c r="D75" s="9">
        <v>338</v>
      </c>
      <c r="E75" t="s">
        <v>31</v>
      </c>
    </row>
    <row r="76" spans="1:12" ht="15" thickBot="1" x14ac:dyDescent="0.35">
      <c r="A76" s="2" t="s">
        <v>32</v>
      </c>
      <c r="B76" s="2">
        <v>1</v>
      </c>
      <c r="C76" s="2">
        <v>14290</v>
      </c>
      <c r="D76" s="9">
        <v>1079</v>
      </c>
      <c r="E76" t="s">
        <v>32</v>
      </c>
    </row>
    <row r="77" spans="1:12" ht="15" thickBot="1" x14ac:dyDescent="0.35">
      <c r="A77" s="2" t="s">
        <v>32</v>
      </c>
      <c r="B77" s="2">
        <v>2</v>
      </c>
      <c r="C77" s="2">
        <v>14290</v>
      </c>
      <c r="D77" s="9">
        <v>1296</v>
      </c>
      <c r="E77" t="s">
        <v>32</v>
      </c>
    </row>
    <row r="78" spans="1:12" ht="15" thickBot="1" x14ac:dyDescent="0.35">
      <c r="A78" s="2" t="s">
        <v>32</v>
      </c>
      <c r="B78" s="2">
        <v>3</v>
      </c>
      <c r="C78" s="2">
        <v>14290</v>
      </c>
      <c r="D78" s="9">
        <v>910</v>
      </c>
      <c r="E78" t="s">
        <v>32</v>
      </c>
    </row>
    <row r="79" spans="1:12" ht="15" thickBot="1" x14ac:dyDescent="0.35">
      <c r="A79" s="2" t="s">
        <v>32</v>
      </c>
      <c r="B79" s="2">
        <v>4</v>
      </c>
      <c r="C79" s="2">
        <v>14290</v>
      </c>
      <c r="D79" s="9">
        <v>1045</v>
      </c>
      <c r="E79" t="s">
        <v>32</v>
      </c>
    </row>
    <row r="80" spans="1:12" ht="15" thickBot="1" x14ac:dyDescent="0.35">
      <c r="A80" s="2" t="s">
        <v>33</v>
      </c>
      <c r="B80" s="2">
        <v>1</v>
      </c>
      <c r="C80" s="2">
        <v>14120</v>
      </c>
      <c r="D80" s="9">
        <v>8232</v>
      </c>
      <c r="E80" t="s">
        <v>33</v>
      </c>
    </row>
    <row r="81" spans="1:5" ht="15" thickBot="1" x14ac:dyDescent="0.35">
      <c r="A81" s="2" t="s">
        <v>33</v>
      </c>
      <c r="B81" s="2">
        <v>2</v>
      </c>
      <c r="C81" s="2">
        <v>14120</v>
      </c>
      <c r="D81" s="9">
        <v>1703</v>
      </c>
      <c r="E81" t="s">
        <v>33</v>
      </c>
    </row>
    <row r="82" spans="1:5" ht="15" thickBot="1" x14ac:dyDescent="0.35">
      <c r="A82" s="2" t="s">
        <v>34</v>
      </c>
      <c r="B82" s="2">
        <v>1</v>
      </c>
      <c r="C82" s="2">
        <v>14815</v>
      </c>
      <c r="D82" s="9">
        <v>676</v>
      </c>
      <c r="E82" t="s">
        <v>34</v>
      </c>
    </row>
    <row r="83" spans="1:5" ht="15" thickBot="1" x14ac:dyDescent="0.35">
      <c r="A83" s="2" t="s">
        <v>35</v>
      </c>
      <c r="B83" s="2">
        <v>1</v>
      </c>
      <c r="C83" s="2">
        <v>14209</v>
      </c>
      <c r="D83" s="9">
        <v>412</v>
      </c>
      <c r="E83" t="s">
        <v>35</v>
      </c>
    </row>
    <row r="84" spans="1:5" ht="15" thickBot="1" x14ac:dyDescent="0.35">
      <c r="A84" s="2" t="s">
        <v>36</v>
      </c>
      <c r="B84" s="2">
        <v>1</v>
      </c>
      <c r="C84" s="2">
        <v>14546</v>
      </c>
      <c r="D84" s="9">
        <v>1549</v>
      </c>
      <c r="E84" t="s">
        <v>36</v>
      </c>
    </row>
    <row r="85" spans="1:5" ht="15" thickBot="1" x14ac:dyDescent="0.35">
      <c r="A85" s="2" t="s">
        <v>80</v>
      </c>
      <c r="B85" s="2">
        <v>1</v>
      </c>
      <c r="C85" s="2">
        <v>14547</v>
      </c>
      <c r="D85" s="9">
        <v>1359</v>
      </c>
      <c r="E85" t="s">
        <v>80</v>
      </c>
    </row>
    <row r="86" spans="1:5" ht="15" thickBot="1" x14ac:dyDescent="0.35">
      <c r="A86" s="2" t="s">
        <v>37</v>
      </c>
      <c r="B86" s="2">
        <v>1</v>
      </c>
      <c r="C86" s="2">
        <v>14413</v>
      </c>
      <c r="D86" s="9">
        <v>330</v>
      </c>
      <c r="E86" t="s">
        <v>37</v>
      </c>
    </row>
    <row r="87" spans="1:5" ht="15" thickBot="1" x14ac:dyDescent="0.35">
      <c r="A87" s="2" t="s">
        <v>38</v>
      </c>
      <c r="B87" s="2">
        <v>1</v>
      </c>
      <c r="C87" s="2">
        <v>14270</v>
      </c>
      <c r="D87" s="9">
        <v>915</v>
      </c>
      <c r="E87" t="s">
        <v>38</v>
      </c>
    </row>
    <row r="88" spans="1:5" ht="15" thickBot="1" x14ac:dyDescent="0.35">
      <c r="A88" s="2" t="s">
        <v>38</v>
      </c>
      <c r="B88" s="2">
        <v>2</v>
      </c>
      <c r="C88" s="2">
        <v>14270</v>
      </c>
      <c r="D88" s="9">
        <v>586</v>
      </c>
      <c r="E88" t="s">
        <v>38</v>
      </c>
    </row>
    <row r="89" spans="1:5" ht="15" thickBot="1" x14ac:dyDescent="0.35">
      <c r="A89" s="2" t="s">
        <v>38</v>
      </c>
      <c r="B89" s="2">
        <v>3</v>
      </c>
      <c r="C89" s="2">
        <v>14270</v>
      </c>
      <c r="D89" s="9">
        <v>3282</v>
      </c>
      <c r="E89" t="s">
        <v>38</v>
      </c>
    </row>
    <row r="90" spans="1:5" ht="15" thickBot="1" x14ac:dyDescent="0.35">
      <c r="A90" s="2" t="s">
        <v>38</v>
      </c>
      <c r="B90" s="2">
        <v>4</v>
      </c>
      <c r="C90" s="2">
        <v>14270</v>
      </c>
      <c r="D90" s="9">
        <v>1646</v>
      </c>
      <c r="E90" t="s">
        <v>38</v>
      </c>
    </row>
    <row r="91" spans="1:5" ht="15" thickBot="1" x14ac:dyDescent="0.35">
      <c r="A91" s="2" t="s">
        <v>39</v>
      </c>
      <c r="B91" s="2">
        <v>1</v>
      </c>
      <c r="C91" s="2">
        <v>14740</v>
      </c>
      <c r="D91" s="9">
        <v>1949</v>
      </c>
      <c r="E91" t="s">
        <v>39</v>
      </c>
    </row>
    <row r="92" spans="1:5" ht="15" thickBot="1" x14ac:dyDescent="0.35">
      <c r="A92" s="2" t="s">
        <v>39</v>
      </c>
      <c r="B92" s="2">
        <v>2</v>
      </c>
      <c r="C92" s="2">
        <v>14740</v>
      </c>
      <c r="D92" s="9">
        <v>2404</v>
      </c>
      <c r="E92" t="s">
        <v>39</v>
      </c>
    </row>
    <row r="93" spans="1:5" ht="15" thickBot="1" x14ac:dyDescent="0.35">
      <c r="A93" s="2" t="s">
        <v>40</v>
      </c>
      <c r="B93" s="2">
        <v>1</v>
      </c>
      <c r="C93" s="2">
        <v>14970</v>
      </c>
      <c r="D93" s="9">
        <v>1909</v>
      </c>
      <c r="E93" t="s">
        <v>40</v>
      </c>
    </row>
    <row r="94" spans="1:5" ht="15" thickBot="1" x14ac:dyDescent="0.35">
      <c r="A94" s="2" t="s">
        <v>40</v>
      </c>
      <c r="B94" s="2">
        <v>2</v>
      </c>
      <c r="C94" s="2">
        <v>14970</v>
      </c>
      <c r="D94" s="9">
        <v>820</v>
      </c>
      <c r="E94" t="s">
        <v>40</v>
      </c>
    </row>
    <row r="95" spans="1:5" ht="15" thickBot="1" x14ac:dyDescent="0.35">
      <c r="A95" s="2" t="s">
        <v>40</v>
      </c>
      <c r="B95" s="2">
        <v>3</v>
      </c>
      <c r="C95" s="2">
        <v>14970</v>
      </c>
      <c r="D95" s="9">
        <v>996</v>
      </c>
      <c r="E95" t="s">
        <v>40</v>
      </c>
    </row>
    <row r="96" spans="1:5" ht="15" thickBot="1" x14ac:dyDescent="0.35">
      <c r="A96" s="2" t="s">
        <v>41</v>
      </c>
      <c r="B96" s="2">
        <v>1</v>
      </c>
      <c r="C96" s="2">
        <v>14900</v>
      </c>
      <c r="D96" s="9">
        <v>9106</v>
      </c>
      <c r="E96" t="s">
        <v>41</v>
      </c>
    </row>
    <row r="97" spans="1:5" ht="15" thickBot="1" x14ac:dyDescent="0.35">
      <c r="A97" s="2" t="s">
        <v>41</v>
      </c>
      <c r="B97" s="2">
        <v>2</v>
      </c>
      <c r="C97" s="2">
        <v>14900</v>
      </c>
      <c r="D97" s="9">
        <v>15572</v>
      </c>
      <c r="E97" t="s">
        <v>41</v>
      </c>
    </row>
    <row r="98" spans="1:5" ht="15" thickBot="1" x14ac:dyDescent="0.35">
      <c r="A98" s="2" t="s">
        <v>41</v>
      </c>
      <c r="B98" s="2">
        <v>3</v>
      </c>
      <c r="C98" s="2">
        <v>14900</v>
      </c>
      <c r="D98" s="9">
        <v>14018</v>
      </c>
      <c r="E98" t="s">
        <v>41</v>
      </c>
    </row>
    <row r="99" spans="1:5" ht="15" thickBot="1" x14ac:dyDescent="0.35">
      <c r="A99" s="2" t="s">
        <v>41</v>
      </c>
      <c r="B99" s="2">
        <v>4</v>
      </c>
      <c r="C99" s="2">
        <v>14900</v>
      </c>
      <c r="D99" s="9">
        <v>2281</v>
      </c>
      <c r="E99" t="s">
        <v>41</v>
      </c>
    </row>
    <row r="100" spans="1:5" ht="15" thickBot="1" x14ac:dyDescent="0.35">
      <c r="A100" s="2" t="s">
        <v>41</v>
      </c>
      <c r="B100" s="2">
        <v>5</v>
      </c>
      <c r="C100" s="2">
        <v>14911</v>
      </c>
      <c r="D100" s="9">
        <v>1653</v>
      </c>
      <c r="E100" t="s">
        <v>41</v>
      </c>
    </row>
    <row r="101" spans="1:5" ht="15" thickBot="1" x14ac:dyDescent="0.35">
      <c r="A101" s="2" t="s">
        <v>42</v>
      </c>
      <c r="B101" s="2">
        <v>1</v>
      </c>
      <c r="C101" s="2">
        <v>14880</v>
      </c>
      <c r="D101" s="9">
        <v>2817</v>
      </c>
      <c r="E101" t="s">
        <v>42</v>
      </c>
    </row>
    <row r="102" spans="1:5" ht="15" thickBot="1" x14ac:dyDescent="0.35">
      <c r="A102" s="2" t="s">
        <v>43</v>
      </c>
      <c r="B102" s="2">
        <v>1</v>
      </c>
      <c r="C102" s="2">
        <v>14548</v>
      </c>
      <c r="D102" s="9">
        <v>1916</v>
      </c>
      <c r="E102" t="s">
        <v>592</v>
      </c>
    </row>
    <row r="103" spans="1:5" ht="15" thickBot="1" x14ac:dyDescent="0.35">
      <c r="A103" s="2" t="s">
        <v>43</v>
      </c>
      <c r="B103" s="2">
        <v>2</v>
      </c>
      <c r="C103" s="2">
        <v>14548</v>
      </c>
      <c r="D103" s="9">
        <v>2519</v>
      </c>
      <c r="E103" t="s">
        <v>592</v>
      </c>
    </row>
    <row r="104" spans="1:5" ht="15" thickBot="1" x14ac:dyDescent="0.35">
      <c r="A104" s="2" t="s">
        <v>44</v>
      </c>
      <c r="B104" s="2">
        <v>1</v>
      </c>
      <c r="C104" s="2">
        <v>14530</v>
      </c>
      <c r="D104" s="9">
        <v>1817</v>
      </c>
      <c r="E104" t="s">
        <v>44</v>
      </c>
    </row>
    <row r="105" spans="1:5" ht="15" thickBot="1" x14ac:dyDescent="0.35">
      <c r="A105" s="2" t="s">
        <v>44</v>
      </c>
      <c r="B105" s="2">
        <v>2</v>
      </c>
      <c r="C105" s="2">
        <v>14530</v>
      </c>
      <c r="D105" s="9">
        <v>2061</v>
      </c>
      <c r="E105" t="s">
        <v>44</v>
      </c>
    </row>
    <row r="106" spans="1:5" ht="15" thickBot="1" x14ac:dyDescent="0.35">
      <c r="A106" s="2" t="s">
        <v>45</v>
      </c>
      <c r="B106" s="2">
        <v>1</v>
      </c>
      <c r="C106" s="2">
        <v>14550</v>
      </c>
      <c r="D106" s="9">
        <v>2541</v>
      </c>
      <c r="E106" t="s">
        <v>45</v>
      </c>
    </row>
    <row r="107" spans="1:5" ht="15" thickBot="1" x14ac:dyDescent="0.35">
      <c r="A107" s="2" t="s">
        <v>45</v>
      </c>
      <c r="B107" s="2">
        <v>2</v>
      </c>
      <c r="C107" s="2">
        <v>14550</v>
      </c>
      <c r="D107" s="9">
        <v>4472</v>
      </c>
      <c r="E107" t="s">
        <v>45</v>
      </c>
    </row>
    <row r="108" spans="1:5" ht="15" thickBot="1" x14ac:dyDescent="0.35">
      <c r="A108" s="2" t="s">
        <v>45</v>
      </c>
      <c r="B108" s="2">
        <v>3</v>
      </c>
      <c r="C108" s="2">
        <v>14550</v>
      </c>
      <c r="D108" s="9">
        <v>7564</v>
      </c>
      <c r="E108" t="s">
        <v>45</v>
      </c>
    </row>
    <row r="109" spans="1:5" ht="15" thickBot="1" x14ac:dyDescent="0.35">
      <c r="A109" s="2" t="s">
        <v>45</v>
      </c>
      <c r="B109" s="2">
        <v>4</v>
      </c>
      <c r="C109" s="2">
        <v>14550</v>
      </c>
      <c r="D109" s="9">
        <v>6135</v>
      </c>
      <c r="E109" t="s">
        <v>45</v>
      </c>
    </row>
    <row r="110" spans="1:5" ht="15" thickBot="1" x14ac:dyDescent="0.35">
      <c r="A110" s="2" t="s">
        <v>45</v>
      </c>
      <c r="B110" s="2">
        <v>5</v>
      </c>
      <c r="C110" s="2">
        <v>14550</v>
      </c>
      <c r="D110" s="9">
        <v>1388</v>
      </c>
      <c r="E110" t="s">
        <v>45</v>
      </c>
    </row>
    <row r="111" spans="1:5" ht="15" thickBot="1" x14ac:dyDescent="0.35">
      <c r="A111" s="2" t="s">
        <v>46</v>
      </c>
      <c r="B111" s="2">
        <v>1</v>
      </c>
      <c r="C111" s="2">
        <v>14600</v>
      </c>
      <c r="D111" s="9">
        <v>1765</v>
      </c>
      <c r="E111" t="s">
        <v>46</v>
      </c>
    </row>
    <row r="112" spans="1:5" ht="15" thickBot="1" x14ac:dyDescent="0.35">
      <c r="A112" s="2" t="s">
        <v>46</v>
      </c>
      <c r="B112" s="2">
        <v>2</v>
      </c>
      <c r="C112" s="2">
        <v>14600</v>
      </c>
      <c r="D112" s="9">
        <v>1108</v>
      </c>
      <c r="E112" t="s">
        <v>46</v>
      </c>
    </row>
    <row r="113" spans="1:5" ht="15" thickBot="1" x14ac:dyDescent="0.35">
      <c r="A113" s="2" t="s">
        <v>46</v>
      </c>
      <c r="B113" s="2">
        <v>3</v>
      </c>
      <c r="C113" s="2">
        <v>14600</v>
      </c>
      <c r="D113" s="9">
        <v>1531</v>
      </c>
      <c r="E113" t="s">
        <v>46</v>
      </c>
    </row>
    <row r="114" spans="1:5" ht="15" thickBot="1" x14ac:dyDescent="0.35">
      <c r="A114" s="2" t="s">
        <v>46</v>
      </c>
      <c r="B114" s="2">
        <v>4</v>
      </c>
      <c r="C114" s="2">
        <v>14600</v>
      </c>
      <c r="D114" s="9">
        <v>4615</v>
      </c>
      <c r="E114" t="s">
        <v>46</v>
      </c>
    </row>
    <row r="115" spans="1:5" ht="15" thickBot="1" x14ac:dyDescent="0.35">
      <c r="A115" s="2" t="s">
        <v>47</v>
      </c>
      <c r="B115" s="2">
        <v>1</v>
      </c>
      <c r="C115" s="2">
        <v>14547</v>
      </c>
      <c r="D115" s="9">
        <v>1935</v>
      </c>
      <c r="E115" t="s">
        <v>47</v>
      </c>
    </row>
    <row r="116" spans="1:5" ht="15" thickBot="1" x14ac:dyDescent="0.35">
      <c r="A116" s="2" t="s">
        <v>48</v>
      </c>
      <c r="B116" s="2">
        <v>1</v>
      </c>
      <c r="C116" s="2">
        <v>14510</v>
      </c>
      <c r="D116" s="9">
        <v>3629</v>
      </c>
      <c r="E116" t="s">
        <v>48</v>
      </c>
    </row>
    <row r="117" spans="1:5" ht="15" thickBot="1" x14ac:dyDescent="0.35">
      <c r="A117" s="2" t="s">
        <v>49</v>
      </c>
      <c r="B117" s="2">
        <v>1</v>
      </c>
      <c r="C117" s="2">
        <v>14857</v>
      </c>
      <c r="D117" s="9">
        <v>3038</v>
      </c>
      <c r="E117" t="s">
        <v>49</v>
      </c>
    </row>
    <row r="118" spans="1:5" ht="15" thickBot="1" x14ac:dyDescent="0.35">
      <c r="A118" s="2" t="s">
        <v>49</v>
      </c>
      <c r="B118" s="2">
        <v>2</v>
      </c>
      <c r="C118" s="2">
        <v>14857</v>
      </c>
      <c r="D118" s="9">
        <v>2274</v>
      </c>
      <c r="E118" t="s">
        <v>49</v>
      </c>
    </row>
    <row r="119" spans="1:5" ht="15" thickBot="1" x14ac:dyDescent="0.35">
      <c r="A119" s="2" t="s">
        <v>50</v>
      </c>
      <c r="B119" s="2">
        <v>1</v>
      </c>
      <c r="C119" s="2">
        <v>14350</v>
      </c>
      <c r="D119" s="9">
        <v>2090</v>
      </c>
      <c r="E119" t="s">
        <v>50</v>
      </c>
    </row>
    <row r="120" spans="1:5" ht="15" thickBot="1" x14ac:dyDescent="0.35">
      <c r="A120" s="2" t="s">
        <v>51</v>
      </c>
      <c r="B120" s="2">
        <v>1</v>
      </c>
      <c r="C120" s="2">
        <v>14914</v>
      </c>
      <c r="D120" s="9">
        <v>1432</v>
      </c>
      <c r="E120" t="s">
        <v>51</v>
      </c>
    </row>
    <row r="121" spans="1:5" ht="15" thickBot="1" x14ac:dyDescent="0.35">
      <c r="A121" s="2" t="s">
        <v>52</v>
      </c>
      <c r="B121" s="2">
        <v>1</v>
      </c>
      <c r="C121" s="2">
        <v>14700</v>
      </c>
      <c r="D121" s="9">
        <v>7114</v>
      </c>
      <c r="E121" t="s">
        <v>52</v>
      </c>
    </row>
    <row r="122" spans="1:5" ht="15" thickBot="1" x14ac:dyDescent="0.35">
      <c r="A122" s="2" t="s">
        <v>52</v>
      </c>
      <c r="B122" s="2">
        <v>2</v>
      </c>
      <c r="C122" s="2">
        <v>14700</v>
      </c>
      <c r="D122" s="9">
        <v>3561</v>
      </c>
      <c r="E122" t="s">
        <v>52</v>
      </c>
    </row>
    <row r="123" spans="1:5" ht="15" thickBot="1" x14ac:dyDescent="0.35">
      <c r="A123" s="2" t="s">
        <v>52</v>
      </c>
      <c r="B123" s="2">
        <v>3</v>
      </c>
      <c r="C123" s="2">
        <v>14700</v>
      </c>
      <c r="D123" s="9">
        <v>9744</v>
      </c>
      <c r="E123" t="s">
        <v>52</v>
      </c>
    </row>
    <row r="124" spans="1:5" ht="15" thickBot="1" x14ac:dyDescent="0.35">
      <c r="A124" s="2" t="s">
        <v>53</v>
      </c>
      <c r="B124" s="2">
        <v>1</v>
      </c>
      <c r="C124" s="2">
        <v>14630</v>
      </c>
      <c r="D124" s="9">
        <v>1643</v>
      </c>
      <c r="E124" t="s">
        <v>53</v>
      </c>
    </row>
    <row r="125" spans="1:5" ht="15" thickBot="1" x14ac:dyDescent="0.35">
      <c r="A125" s="2" t="s">
        <v>53</v>
      </c>
      <c r="B125" s="2">
        <v>2</v>
      </c>
      <c r="C125" s="2">
        <v>14630</v>
      </c>
      <c r="D125" s="9">
        <v>1171</v>
      </c>
      <c r="E125" t="s">
        <v>53</v>
      </c>
    </row>
    <row r="126" spans="1:5" ht="15" thickBot="1" x14ac:dyDescent="0.35">
      <c r="A126" s="2" t="s">
        <v>54</v>
      </c>
      <c r="B126" s="2">
        <v>1</v>
      </c>
      <c r="C126" s="2">
        <v>14412</v>
      </c>
      <c r="D126" s="9">
        <v>774</v>
      </c>
      <c r="E126" t="s">
        <v>54</v>
      </c>
    </row>
    <row r="127" spans="1:5" ht="15" thickBot="1" x14ac:dyDescent="0.35">
      <c r="A127" s="2" t="s">
        <v>54</v>
      </c>
      <c r="B127" s="2">
        <v>2</v>
      </c>
      <c r="C127" s="2">
        <v>14412</v>
      </c>
      <c r="D127" s="9">
        <v>598</v>
      </c>
      <c r="E127" t="s">
        <v>54</v>
      </c>
    </row>
    <row r="128" spans="1:5" ht="15" thickBot="1" x14ac:dyDescent="0.35">
      <c r="A128" s="2" t="s">
        <v>55</v>
      </c>
      <c r="B128" s="2">
        <v>1</v>
      </c>
      <c r="C128" s="2">
        <v>14200</v>
      </c>
      <c r="D128" s="9">
        <v>4706</v>
      </c>
      <c r="E128" t="s">
        <v>593</v>
      </c>
    </row>
    <row r="129" spans="1:5" ht="15" thickBot="1" x14ac:dyDescent="0.35">
      <c r="A129" s="2" t="s">
        <v>55</v>
      </c>
      <c r="B129" s="2">
        <v>2</v>
      </c>
      <c r="C129" s="2">
        <v>14200</v>
      </c>
      <c r="D129" s="9">
        <v>3033</v>
      </c>
      <c r="E129" t="s">
        <v>593</v>
      </c>
    </row>
    <row r="130" spans="1:5" ht="15" thickBot="1" x14ac:dyDescent="0.35">
      <c r="A130" s="2" t="s">
        <v>55</v>
      </c>
      <c r="B130" s="2">
        <v>3</v>
      </c>
      <c r="C130" s="2">
        <v>14200</v>
      </c>
      <c r="D130" s="9">
        <v>2325</v>
      </c>
      <c r="E130" t="s">
        <v>593</v>
      </c>
    </row>
    <row r="131" spans="1:5" ht="15" thickBot="1" x14ac:dyDescent="0.35">
      <c r="A131" s="2" t="s">
        <v>55</v>
      </c>
      <c r="B131" s="2">
        <v>4</v>
      </c>
      <c r="C131" s="2">
        <v>14200</v>
      </c>
      <c r="D131" s="9">
        <v>253</v>
      </c>
      <c r="E131" t="s">
        <v>593</v>
      </c>
    </row>
    <row r="132" spans="1:5" ht="15" thickBot="1" x14ac:dyDescent="0.35">
      <c r="A132" s="2" t="s">
        <v>56</v>
      </c>
      <c r="B132" s="2">
        <v>1</v>
      </c>
      <c r="C132" s="2">
        <v>14730</v>
      </c>
      <c r="D132" s="9">
        <v>3491</v>
      </c>
      <c r="E132" t="s">
        <v>56</v>
      </c>
    </row>
    <row r="133" spans="1:5" ht="15" thickBot="1" x14ac:dyDescent="0.35">
      <c r="A133" s="2" t="s">
        <v>56</v>
      </c>
      <c r="B133" s="2">
        <v>2</v>
      </c>
      <c r="C133" s="2">
        <v>14730</v>
      </c>
      <c r="D133" s="9">
        <v>3668</v>
      </c>
      <c r="E133" t="s">
        <v>56</v>
      </c>
    </row>
    <row r="134" spans="1:5" ht="15" thickBot="1" x14ac:dyDescent="0.35">
      <c r="A134" s="2" t="s">
        <v>57</v>
      </c>
      <c r="B134" s="2">
        <v>1</v>
      </c>
      <c r="C134" s="2">
        <v>14400</v>
      </c>
      <c r="D134" s="9">
        <v>4617</v>
      </c>
      <c r="E134" t="s">
        <v>57</v>
      </c>
    </row>
    <row r="135" spans="1:5" ht="15" thickBot="1" x14ac:dyDescent="0.35">
      <c r="A135" s="2" t="s">
        <v>57</v>
      </c>
      <c r="B135" s="2">
        <v>2</v>
      </c>
      <c r="C135" s="2">
        <v>14400</v>
      </c>
      <c r="D135" s="9">
        <v>6286</v>
      </c>
      <c r="E135" t="s">
        <v>57</v>
      </c>
    </row>
    <row r="136" spans="1:5" ht="15" thickBot="1" x14ac:dyDescent="0.35">
      <c r="A136" s="2" t="s">
        <v>57</v>
      </c>
      <c r="B136" s="2">
        <v>3</v>
      </c>
      <c r="C136" s="2">
        <v>14400</v>
      </c>
      <c r="D136" s="9">
        <v>2170</v>
      </c>
      <c r="E136" t="s">
        <v>57</v>
      </c>
    </row>
    <row r="137" spans="1:5" ht="15" thickBot="1" x14ac:dyDescent="0.35">
      <c r="A137" s="2" t="s">
        <v>57</v>
      </c>
      <c r="B137" s="2">
        <v>4</v>
      </c>
      <c r="C137" s="2">
        <v>14400</v>
      </c>
      <c r="D137" s="9">
        <v>3429</v>
      </c>
      <c r="E137" t="s">
        <v>57</v>
      </c>
    </row>
    <row r="138" spans="1:5" ht="15" thickBot="1" x14ac:dyDescent="0.35">
      <c r="A138" s="2" t="s">
        <v>58</v>
      </c>
      <c r="B138" s="2">
        <v>1</v>
      </c>
      <c r="C138" s="2">
        <v>14800</v>
      </c>
      <c r="D138" s="9">
        <v>4412</v>
      </c>
      <c r="E138" t="s">
        <v>594</v>
      </c>
    </row>
    <row r="139" spans="1:5" ht="15" thickBot="1" x14ac:dyDescent="0.35">
      <c r="A139" s="2" t="s">
        <v>58</v>
      </c>
      <c r="B139" s="2">
        <v>2</v>
      </c>
      <c r="C139" s="2">
        <v>14800</v>
      </c>
      <c r="D139" s="9">
        <v>13763</v>
      </c>
      <c r="E139" t="s">
        <v>594</v>
      </c>
    </row>
    <row r="140" spans="1:5" ht="15" thickBot="1" x14ac:dyDescent="0.35">
      <c r="A140" s="2" t="s">
        <v>58</v>
      </c>
      <c r="B140" s="2">
        <v>3</v>
      </c>
      <c r="C140" s="2">
        <v>14800</v>
      </c>
      <c r="D140" s="9">
        <v>1724</v>
      </c>
      <c r="E140" t="s">
        <v>594</v>
      </c>
    </row>
    <row r="141" spans="1:5" ht="15" thickBot="1" x14ac:dyDescent="0.35">
      <c r="A141" s="2" t="s">
        <v>58</v>
      </c>
      <c r="B141" s="2">
        <v>4</v>
      </c>
      <c r="C141" s="2">
        <v>14817</v>
      </c>
      <c r="D141" s="9">
        <v>1857</v>
      </c>
      <c r="E141" t="s">
        <v>594</v>
      </c>
    </row>
    <row r="142" spans="1:5" ht="15" thickBot="1" x14ac:dyDescent="0.35">
      <c r="A142" s="2" t="s">
        <v>59</v>
      </c>
      <c r="B142" s="2">
        <v>1</v>
      </c>
      <c r="C142" s="2">
        <v>14500</v>
      </c>
      <c r="D142" s="9">
        <v>3196</v>
      </c>
      <c r="E142" t="s">
        <v>59</v>
      </c>
    </row>
    <row r="143" spans="1:5" ht="15" thickBot="1" x14ac:dyDescent="0.35">
      <c r="A143" s="2" t="s">
        <v>59</v>
      </c>
      <c r="B143" s="2">
        <v>2</v>
      </c>
      <c r="C143" s="2">
        <v>14500</v>
      </c>
      <c r="D143" s="9">
        <v>3854</v>
      </c>
      <c r="E143" t="s">
        <v>59</v>
      </c>
    </row>
    <row r="144" spans="1:5" ht="15" thickBot="1" x14ac:dyDescent="0.35">
      <c r="A144" s="2" t="s">
        <v>59</v>
      </c>
      <c r="B144" s="2">
        <v>3</v>
      </c>
      <c r="C144" s="2">
        <v>14500</v>
      </c>
      <c r="D144" s="9">
        <v>6841</v>
      </c>
      <c r="E144" t="s">
        <v>59</v>
      </c>
    </row>
    <row r="145" spans="1:5" ht="15" thickBot="1" x14ac:dyDescent="0.35">
      <c r="A145" s="2" t="s">
        <v>59</v>
      </c>
      <c r="B145" s="2">
        <v>4</v>
      </c>
      <c r="C145" s="2">
        <v>14500</v>
      </c>
      <c r="D145" s="9">
        <v>8660</v>
      </c>
      <c r="E145" t="s">
        <v>59</v>
      </c>
    </row>
    <row r="146" spans="1:5" ht="15" thickBot="1" x14ac:dyDescent="0.35">
      <c r="A146" s="2" t="s">
        <v>59</v>
      </c>
      <c r="B146" s="2">
        <v>5</v>
      </c>
      <c r="C146" s="2">
        <v>14510</v>
      </c>
      <c r="D146" s="9">
        <v>7002</v>
      </c>
      <c r="E146" t="s">
        <v>59</v>
      </c>
    </row>
    <row r="147" spans="1:5" ht="15" thickBot="1" x14ac:dyDescent="0.35">
      <c r="A147" s="2" t="s">
        <v>60</v>
      </c>
      <c r="B147" s="2">
        <v>1</v>
      </c>
      <c r="C147" s="2">
        <v>14540</v>
      </c>
      <c r="D147" s="9">
        <v>7416</v>
      </c>
      <c r="E147" t="s">
        <v>60</v>
      </c>
    </row>
    <row r="148" spans="1:5" ht="15" thickBot="1" x14ac:dyDescent="0.35">
      <c r="A148" s="2" t="s">
        <v>61</v>
      </c>
      <c r="B148" s="2">
        <v>1</v>
      </c>
      <c r="C148" s="2">
        <v>14960</v>
      </c>
      <c r="D148" s="9">
        <v>2278</v>
      </c>
      <c r="E148" t="s">
        <v>61</v>
      </c>
    </row>
    <row r="149" spans="1:5" ht="15" thickBot="1" x14ac:dyDescent="0.35">
      <c r="A149" s="2" t="s">
        <v>61</v>
      </c>
      <c r="B149" s="2">
        <v>2</v>
      </c>
      <c r="C149" s="2">
        <v>14960</v>
      </c>
      <c r="D149" s="9">
        <v>784</v>
      </c>
      <c r="E149" t="s">
        <v>61</v>
      </c>
    </row>
    <row r="150" spans="1:5" ht="15" thickBot="1" x14ac:dyDescent="0.35">
      <c r="A150" s="2" t="s">
        <v>61</v>
      </c>
      <c r="B150" s="2">
        <v>3</v>
      </c>
      <c r="C150" s="2">
        <v>14960</v>
      </c>
      <c r="D150" s="9">
        <v>2793</v>
      </c>
      <c r="E150" t="s">
        <v>61</v>
      </c>
    </row>
    <row r="151" spans="1:5" ht="15" thickBot="1" x14ac:dyDescent="0.35">
      <c r="A151" s="2" t="s">
        <v>61</v>
      </c>
      <c r="B151" s="2">
        <v>4</v>
      </c>
      <c r="C151" s="2">
        <v>14960</v>
      </c>
      <c r="D151" s="9">
        <v>1623</v>
      </c>
      <c r="E151" t="s">
        <v>61</v>
      </c>
    </row>
    <row r="152" spans="1:5" ht="15" thickBot="1" x14ac:dyDescent="0.35">
      <c r="A152" s="2" t="s">
        <v>61</v>
      </c>
      <c r="B152" s="2">
        <v>5</v>
      </c>
      <c r="C152" s="2">
        <v>14960</v>
      </c>
      <c r="D152" s="9">
        <v>2245</v>
      </c>
      <c r="E152" t="s">
        <v>61</v>
      </c>
    </row>
    <row r="153" spans="1:5" ht="15" thickBot="1" x14ac:dyDescent="0.35">
      <c r="A153" s="2" t="s">
        <v>62</v>
      </c>
      <c r="B153" s="2">
        <v>1</v>
      </c>
      <c r="C153" s="2">
        <v>14150</v>
      </c>
      <c r="D153" s="9">
        <v>854</v>
      </c>
      <c r="E153" t="s">
        <v>595</v>
      </c>
    </row>
    <row r="154" spans="1:5" ht="15" thickBot="1" x14ac:dyDescent="0.35">
      <c r="A154" s="2" t="s">
        <v>64</v>
      </c>
      <c r="B154" s="2">
        <v>1</v>
      </c>
      <c r="C154" s="2">
        <v>14491</v>
      </c>
      <c r="D154" s="9">
        <v>669</v>
      </c>
      <c r="E154" t="s">
        <v>64</v>
      </c>
    </row>
    <row r="155" spans="1:5" ht="15" thickBot="1" x14ac:dyDescent="0.35">
      <c r="A155" s="2" t="s">
        <v>63</v>
      </c>
      <c r="B155" s="2">
        <v>1</v>
      </c>
      <c r="C155" s="2">
        <v>14546</v>
      </c>
      <c r="D155" s="9">
        <v>1632</v>
      </c>
      <c r="E155" t="s">
        <v>63</v>
      </c>
    </row>
    <row r="156" spans="1:5" ht="15" thickBot="1" x14ac:dyDescent="0.35">
      <c r="A156" s="2" t="s">
        <v>63</v>
      </c>
      <c r="B156" s="2">
        <v>2</v>
      </c>
      <c r="C156" s="2">
        <v>14546</v>
      </c>
      <c r="D156" s="9">
        <v>3035</v>
      </c>
      <c r="E156" t="s">
        <v>63</v>
      </c>
    </row>
    <row r="157" spans="1:5" ht="15" thickBot="1" x14ac:dyDescent="0.35">
      <c r="A157" s="2" t="s">
        <v>65</v>
      </c>
      <c r="B157" s="2">
        <v>1</v>
      </c>
      <c r="C157" s="2">
        <v>14410</v>
      </c>
      <c r="D157" s="9">
        <v>960</v>
      </c>
      <c r="E157" t="s">
        <v>65</v>
      </c>
    </row>
    <row r="158" spans="1:5" ht="15" thickBot="1" x14ac:dyDescent="0.35">
      <c r="A158" s="2" t="s">
        <v>65</v>
      </c>
      <c r="B158" s="2">
        <v>2</v>
      </c>
      <c r="C158" s="2">
        <v>14410</v>
      </c>
      <c r="D158" s="9">
        <v>80</v>
      </c>
      <c r="E158" t="s">
        <v>65</v>
      </c>
    </row>
    <row r="159" spans="1:5" ht="15" thickBot="1" x14ac:dyDescent="0.35">
      <c r="A159" s="2" t="s">
        <v>66</v>
      </c>
      <c r="B159" s="2">
        <v>1</v>
      </c>
      <c r="C159" s="2">
        <v>14670</v>
      </c>
      <c r="D159" s="9">
        <v>1041</v>
      </c>
      <c r="E159" t="s">
        <v>66</v>
      </c>
    </row>
    <row r="160" spans="1:5" ht="15" thickBot="1" x14ac:dyDescent="0.35">
      <c r="A160" s="2" t="s">
        <v>67</v>
      </c>
      <c r="B160" s="2">
        <v>1</v>
      </c>
      <c r="C160" s="2">
        <v>14206</v>
      </c>
      <c r="D160" s="9">
        <v>361</v>
      </c>
      <c r="E160" t="s">
        <v>67</v>
      </c>
    </row>
    <row r="161" spans="1:5" ht="15" thickBot="1" x14ac:dyDescent="0.35">
      <c r="A161" s="2" t="s">
        <v>68</v>
      </c>
      <c r="B161" s="2">
        <v>1</v>
      </c>
      <c r="C161" s="2">
        <v>14140</v>
      </c>
      <c r="D161" s="9">
        <v>2328</v>
      </c>
      <c r="E161" t="s">
        <v>68</v>
      </c>
    </row>
    <row r="162" spans="1:5" ht="15" thickBot="1" x14ac:dyDescent="0.35">
      <c r="A162" s="2" t="s">
        <v>69</v>
      </c>
      <c r="B162" s="2">
        <v>1</v>
      </c>
      <c r="C162" s="2">
        <v>14640</v>
      </c>
      <c r="D162" s="9">
        <v>3768</v>
      </c>
      <c r="E162" t="s">
        <v>69</v>
      </c>
    </row>
    <row r="163" spans="1:5" ht="15" thickBot="1" x14ac:dyDescent="0.35">
      <c r="A163" s="2" t="s">
        <v>69</v>
      </c>
      <c r="B163" s="2">
        <v>2</v>
      </c>
      <c r="C163" s="2">
        <v>14640</v>
      </c>
      <c r="D163" s="9">
        <v>3092</v>
      </c>
      <c r="E163" t="s">
        <v>69</v>
      </c>
    </row>
    <row r="164" spans="1:5" ht="15" thickBot="1" x14ac:dyDescent="0.35">
      <c r="A164" s="2" t="s">
        <v>70</v>
      </c>
      <c r="B164" s="2">
        <v>1</v>
      </c>
      <c r="C164" s="2">
        <v>14420</v>
      </c>
      <c r="D164" s="9">
        <v>3001</v>
      </c>
      <c r="E164" t="s">
        <v>596</v>
      </c>
    </row>
    <row r="165" spans="1:5" ht="15" thickBot="1" x14ac:dyDescent="0.35">
      <c r="A165" s="2" t="s">
        <v>70</v>
      </c>
      <c r="B165" s="2">
        <v>2</v>
      </c>
      <c r="C165" s="2">
        <v>14420</v>
      </c>
      <c r="D165" s="9">
        <v>1874</v>
      </c>
      <c r="E165" t="s">
        <v>596</v>
      </c>
    </row>
    <row r="166" spans="1:5" ht="15" thickBot="1" x14ac:dyDescent="0.35">
      <c r="A166" s="2" t="s">
        <v>71</v>
      </c>
      <c r="B166" s="2">
        <v>1</v>
      </c>
      <c r="C166" s="2">
        <v>14210</v>
      </c>
      <c r="D166" s="9">
        <v>574</v>
      </c>
      <c r="E166" t="s">
        <v>71</v>
      </c>
    </row>
    <row r="167" spans="1:5" ht="15" thickBot="1" x14ac:dyDescent="0.35">
      <c r="A167" s="2" t="s">
        <v>72</v>
      </c>
      <c r="B167" s="2">
        <v>1</v>
      </c>
      <c r="C167" s="2">
        <v>14440</v>
      </c>
      <c r="D167" s="9">
        <v>2420</v>
      </c>
      <c r="E167" t="s">
        <v>597</v>
      </c>
    </row>
    <row r="168" spans="1:5" ht="15" thickBot="1" x14ac:dyDescent="0.35">
      <c r="A168" s="2" t="s">
        <v>72</v>
      </c>
      <c r="B168" s="2">
        <v>2</v>
      </c>
      <c r="C168" s="2">
        <v>14440</v>
      </c>
      <c r="D168" s="9">
        <v>2797</v>
      </c>
      <c r="E168" t="s">
        <v>597</v>
      </c>
    </row>
    <row r="169" spans="1:5" ht="15" thickBot="1" x14ac:dyDescent="0.35">
      <c r="A169" s="2" t="s">
        <v>72</v>
      </c>
      <c r="B169" s="2">
        <v>3</v>
      </c>
      <c r="C169" s="2">
        <v>14440</v>
      </c>
      <c r="D169" s="9">
        <v>1755</v>
      </c>
      <c r="E169" t="s">
        <v>597</v>
      </c>
    </row>
    <row r="170" spans="1:5" ht="15" thickBot="1" x14ac:dyDescent="0.35">
      <c r="A170" s="2" t="s">
        <v>72</v>
      </c>
      <c r="B170" s="2">
        <v>4</v>
      </c>
      <c r="C170" s="2">
        <v>14440</v>
      </c>
      <c r="D170" s="9">
        <v>1228</v>
      </c>
      <c r="E170" t="s">
        <v>597</v>
      </c>
    </row>
    <row r="171" spans="1:5" ht="15" thickBot="1" x14ac:dyDescent="0.35">
      <c r="A171" s="2" t="s">
        <v>73</v>
      </c>
      <c r="B171" s="2">
        <v>1</v>
      </c>
      <c r="C171" s="2">
        <v>14439</v>
      </c>
      <c r="D171" s="9">
        <v>684</v>
      </c>
      <c r="E171" t="s">
        <v>598</v>
      </c>
    </row>
    <row r="172" spans="1:5" ht="15" thickBot="1" x14ac:dyDescent="0.35">
      <c r="A172" s="2" t="s">
        <v>73</v>
      </c>
      <c r="B172" s="2">
        <v>2</v>
      </c>
      <c r="C172" s="2">
        <v>14439</v>
      </c>
      <c r="D172" s="9">
        <v>659</v>
      </c>
      <c r="E172" t="s">
        <v>598</v>
      </c>
    </row>
    <row r="173" spans="1:5" ht="15" thickBot="1" x14ac:dyDescent="0.35">
      <c r="A173" s="2" t="s">
        <v>74</v>
      </c>
      <c r="B173" s="2">
        <v>1</v>
      </c>
      <c r="C173" s="2">
        <v>14230</v>
      </c>
      <c r="D173" s="9">
        <v>965</v>
      </c>
      <c r="E173" t="s">
        <v>599</v>
      </c>
    </row>
    <row r="174" spans="1:5" ht="15" thickBot="1" x14ac:dyDescent="0.35">
      <c r="A174" s="2" t="s">
        <v>75</v>
      </c>
      <c r="B174" s="2">
        <v>1</v>
      </c>
      <c r="C174" s="2">
        <v>14411</v>
      </c>
      <c r="D174" s="9">
        <v>1054</v>
      </c>
      <c r="E174" t="s">
        <v>75</v>
      </c>
    </row>
    <row r="175" spans="1:5" ht="15" thickBot="1" x14ac:dyDescent="0.35">
      <c r="A175" s="2" t="s">
        <v>76</v>
      </c>
      <c r="B175" s="2">
        <v>1</v>
      </c>
      <c r="C175" s="2">
        <v>14300</v>
      </c>
      <c r="D175" s="9">
        <v>1534</v>
      </c>
      <c r="E175" t="s">
        <v>600</v>
      </c>
    </row>
    <row r="176" spans="1:5" ht="15" thickBot="1" x14ac:dyDescent="0.35">
      <c r="A176" s="2" t="s">
        <v>76</v>
      </c>
      <c r="B176" s="2">
        <v>2</v>
      </c>
      <c r="C176" s="2">
        <v>14300</v>
      </c>
      <c r="D176" s="9">
        <v>1526</v>
      </c>
      <c r="E176" t="s">
        <v>600</v>
      </c>
    </row>
    <row r="177" spans="1:5" ht="15" thickBot="1" x14ac:dyDescent="0.35">
      <c r="A177" s="2" t="s">
        <v>77</v>
      </c>
      <c r="B177" s="2">
        <v>1</v>
      </c>
      <c r="C177" s="2">
        <v>14470</v>
      </c>
      <c r="D177" s="9">
        <v>1244</v>
      </c>
      <c r="E177" t="s">
        <v>77</v>
      </c>
    </row>
    <row r="178" spans="1:5" ht="15" thickBot="1" x14ac:dyDescent="0.35">
      <c r="A178" s="2" t="s">
        <v>77</v>
      </c>
      <c r="B178" s="2">
        <v>2</v>
      </c>
      <c r="C178" s="2">
        <v>14470</v>
      </c>
      <c r="D178" s="9">
        <v>1201</v>
      </c>
      <c r="E178" t="s">
        <v>77</v>
      </c>
    </row>
    <row r="179" spans="1:5" ht="15" thickBot="1" x14ac:dyDescent="0.35">
      <c r="A179" s="2" t="s">
        <v>78</v>
      </c>
      <c r="B179" s="2">
        <v>1</v>
      </c>
      <c r="C179" s="2">
        <v>14870</v>
      </c>
      <c r="D179" s="9">
        <v>606</v>
      </c>
      <c r="E179" t="s">
        <v>78</v>
      </c>
    </row>
  </sheetData>
  <autoFilter ref="E1:G223" xr:uid="{9E7FD064-AF93-446E-BF15-0A7EBE8D3AB6}">
    <sortState xmlns:xlrd2="http://schemas.microsoft.com/office/spreadsheetml/2017/richdata2" ref="E2:G223">
      <sortCondition ref="E1:E22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466FA-2804-49CC-830B-25BDB2C4F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</vt:lpstr>
      <vt:lpstr>Pesos</vt:lpstr>
      <vt:lpstr>Córdoba</vt:lpstr>
      <vt:lpstr>Huelva</vt:lpstr>
      <vt:lpstr>Sevilla</vt:lpstr>
      <vt:lpstr>Cádiz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MOLERA SÁNCHEZ</dc:creator>
  <cp:lastModifiedBy>JUAN JOSÉ MOLERA SÁNCHEZ</cp:lastModifiedBy>
  <dcterms:created xsi:type="dcterms:W3CDTF">2026-03-16T11:37:39Z</dcterms:created>
  <dcterms:modified xsi:type="dcterms:W3CDTF">2026-04-12T18:33:26Z</dcterms:modified>
</cp:coreProperties>
</file>